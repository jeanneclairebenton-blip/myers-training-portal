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1"/>
  <workbookPr/>
  <mc:AlternateContent xmlns:mc="http://schemas.openxmlformats.org/markup-compatibility/2006">
    <mc:Choice Requires="x15">
      <x15ac:absPath xmlns:x15ac="http://schemas.microsoft.com/office/spreadsheetml/2010/11/ac" url="/Users/jeanneclairebenton/Downloads/"/>
    </mc:Choice>
  </mc:AlternateContent>
  <xr:revisionPtr revIDLastSave="0" documentId="13_ncr:1_{397489B3-B0CF-D44A-A122-66F36E711CFA}" xr6:coauthVersionLast="47" xr6:coauthVersionMax="47" xr10:uidLastSave="{00000000-0000-0000-0000-000000000000}"/>
  <bookViews>
    <workbookView xWindow="4680" yWindow="500" windowWidth="33720" windowHeight="19320" xr2:uid="{00000000-000D-0000-FFFF-FFFF00000000}"/>
  </bookViews>
  <sheets>
    <sheet name="Wednesday Weekly Feedback" sheetId="3" r:id="rId1"/>
  </sheets>
  <definedNames>
    <definedName name="_xlnm._FilterDatabase" localSheetId="0" hidden="1">'Wednesday Weekly Feedback'!$C$8:$W$39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Z45" i="3" l="1"/>
  <c r="Z38" i="3"/>
  <c r="Z18" i="3"/>
  <c r="N5" i="3"/>
  <c r="F5" i="3"/>
  <c r="D5" i="3"/>
</calcChain>
</file>

<file path=xl/sharedStrings.xml><?xml version="1.0" encoding="utf-8"?>
<sst xmlns="http://schemas.openxmlformats.org/spreadsheetml/2006/main" count="536" uniqueCount="266">
  <si>
    <t>Name</t>
  </si>
  <si>
    <t>Email</t>
  </si>
  <si>
    <t>Phone</t>
  </si>
  <si>
    <t>Bryce Smith</t>
  </si>
  <si>
    <t>bsmith9155@gmail.com</t>
  </si>
  <si>
    <t>806-368-1250</t>
  </si>
  <si>
    <t>Yaseen Hafid</t>
  </si>
  <si>
    <t>yaseenhafid@gmail.com</t>
  </si>
  <si>
    <t>214-296-7143</t>
  </si>
  <si>
    <t>Reju Zacharia</t>
  </si>
  <si>
    <t>reju2connect@gmail.com</t>
  </si>
  <si>
    <t>732-273-0777</t>
  </si>
  <si>
    <t>La'Nyce Cameron</t>
  </si>
  <si>
    <t>lanycecameron@yahoo.com</t>
  </si>
  <si>
    <t>408-639-9606</t>
  </si>
  <si>
    <t>Jabin Ferrer</t>
  </si>
  <si>
    <t>jabin@revealhomesdfw.com</t>
  </si>
  <si>
    <t>682-200-9838</t>
  </si>
  <si>
    <t>Rodney Love</t>
  </si>
  <si>
    <t>rlove@myershomebuyers.com</t>
  </si>
  <si>
    <t>Ryan Thompson</t>
  </si>
  <si>
    <t>ryanothompson80@gmail.com</t>
  </si>
  <si>
    <t>Hayden Gerhardt</t>
  </si>
  <si>
    <t>hmgerhardt21@gmail.com</t>
  </si>
  <si>
    <t>Asa Menchaca</t>
  </si>
  <si>
    <t>Imari Webster</t>
  </si>
  <si>
    <t>iwebster@myershomebuyers.com</t>
  </si>
  <si>
    <t>Myers Home Buyers — Weekly Wednesday Agent Check-in Tracker</t>
  </si>
  <si>
    <t>Each Wednesday: mark Yes/No/Maybe for the event and log everything from the call in the Notes column</t>
  </si>
  <si>
    <t>Total agents:</t>
  </si>
  <si>
    <t>This week:</t>
  </si>
  <si>
    <t>Flight risks:</t>
  </si>
  <si>
    <t>Agent Info</t>
  </si>
  <si>
    <t>Wed Apr 15, 2026</t>
  </si>
  <si>
    <t>Wed Apr 22, 2026  (this week)</t>
  </si>
  <si>
    <t>Tues Apr 28, 2026</t>
  </si>
  <si>
    <t>Wed May 06, 2026</t>
  </si>
  <si>
    <t>Wed May 13, 2026</t>
  </si>
  <si>
    <t>Wed May 20, 2026</t>
  </si>
  <si>
    <t>Wed May 27, 2026</t>
  </si>
  <si>
    <t>Wed Jun 03, 2026</t>
  </si>
  <si>
    <t>People Coming</t>
  </si>
  <si>
    <t>Status</t>
  </si>
  <si>
    <t>Coming?</t>
  </si>
  <si>
    <t>Notes from call</t>
  </si>
  <si>
    <t xml:space="preserve">Took Survey </t>
  </si>
  <si>
    <t>Survey?</t>
  </si>
  <si>
    <t>Josh DeShong</t>
  </si>
  <si>
    <t>214-679-4155</t>
  </si>
  <si>
    <t>josh@myershomebuyers.com</t>
  </si>
  <si>
    <t>Active</t>
  </si>
  <si>
    <t>Yes</t>
  </si>
  <si>
    <t>Building things</t>
  </si>
  <si>
    <t>Stephen Chiang</t>
  </si>
  <si>
    <t>650-861-9951</t>
  </si>
  <si>
    <t>s@myershomebuyers.com</t>
  </si>
  <si>
    <t>No</t>
  </si>
  <si>
    <t>Dad Died</t>
  </si>
  <si>
    <t>JT Prather</t>
  </si>
  <si>
    <t>512-590-3843</t>
  </si>
  <si>
    <t>jt@myershomebuyers.com</t>
  </si>
  <si>
    <t>N/A</t>
  </si>
  <si>
    <t xml:space="preserve">Seems to be doing well. </t>
  </si>
  <si>
    <t xml:space="preserve">Needs to approve training changes </t>
  </si>
  <si>
    <t>Maybe</t>
  </si>
  <si>
    <t>JD Thorne</t>
  </si>
  <si>
    <t>214-616-6452</t>
  </si>
  <si>
    <t>jd@myershomebuyers.com</t>
  </si>
  <si>
    <t>coming by 6:00/6:30</t>
  </si>
  <si>
    <t xml:space="preserve">Answered but super busy. </t>
  </si>
  <si>
    <t>Zach Torres</t>
  </si>
  <si>
    <t>214-592-2124</t>
  </si>
  <si>
    <t>ztorres@myershomebuyers.com</t>
  </si>
  <si>
    <t>Can't do better. knowledge over time from everyone and being able to do both AA and SAs</t>
  </si>
  <si>
    <t>No Answer</t>
  </si>
  <si>
    <t xml:space="preserve">N/A but texted he is coming </t>
  </si>
  <si>
    <t>Fabiola Jimenez</t>
  </si>
  <si>
    <t>469-427-9172</t>
  </si>
  <si>
    <t>fjimenez@myershomebuyers.com</t>
  </si>
  <si>
    <t>Overseas visiting family in ecuador
learning; but at a point where I haven't been learning much; Was told we can start listing; wants training to become an AA. Learning.
How to make offers. was told to just send contracts. Trojan horse series only for JTs agents.
ARVs are opinions yes, BUT the compings aren't matching the properties. Investors are calling it out.
Rachel Inflates the Comps</t>
  </si>
  <si>
    <t>Just got a carrot site; got a second phone to help her; seems refreshed from her trip</t>
  </si>
  <si>
    <t>Rameen Sarwarzad</t>
  </si>
  <si>
    <t>817-319-2469</t>
  </si>
  <si>
    <t>rameen@myershomebuyers.com</t>
  </si>
  <si>
    <t>Training and Resources - Prophet was Gay; super psyched about AA
No improvements so far.</t>
  </si>
  <si>
    <t>Thanh Phan</t>
  </si>
  <si>
    <t>469-924-0642</t>
  </si>
  <si>
    <t>mthanh@myershomebuyers.com</t>
  </si>
  <si>
    <t>No improvements needed. Needs more deals. Idk. Get a transaction guy? Car is not working.</t>
  </si>
  <si>
    <t>The Calendar is Crazy. Doesnt seem to know the difference between team and upline. Tried explaining but am worried we wern't understanding eachother</t>
  </si>
  <si>
    <t>Texting bc I dont understand</t>
  </si>
  <si>
    <t xml:space="preserve">Says he's doing good. Will not make it to the event </t>
  </si>
  <si>
    <t>Tonya Parks</t>
  </si>
  <si>
    <t>214-980-8816</t>
  </si>
  <si>
    <t>tparks@myershomebuyers.com</t>
  </si>
  <si>
    <t>Offer was high, then everything changed, we need to be consittent with promises, consistency needs to be had with mature people
mindset. I want 1 on 1 time with josh so i can learn. We will find some things we can get you to do to make some extra money and nothing happened.
learn as much as i can so i can aquire properties like them.</t>
  </si>
  <si>
    <t xml:space="preserve">JT made promises.Domestic abuse situation. He had a kid and never brought her on a buyer appointment. She ended up going to one that was cancelled and he didnt notify her about. Made her feel very yucky. And she lost more in divorce due to income loss. </t>
  </si>
  <si>
    <t xml:space="preserve">Is coming son will join! </t>
  </si>
  <si>
    <t>Doing well, just moved. Still needs to update her card</t>
  </si>
  <si>
    <t>Araz Mavadat</t>
  </si>
  <si>
    <t>469-600-6414</t>
  </si>
  <si>
    <t>araz@myershomebuyers.com</t>
  </si>
  <si>
    <t>Josh + Commision Structure + Training</t>
  </si>
  <si>
    <t xml:space="preserve">With teams - went from making the most to making the least in the industry. Everything's been good. I like teams but I don't like that i have to split so much to be on JT's team. JC needs to nt order things for people and let people order for themselves. </t>
  </si>
  <si>
    <t xml:space="preserve">Doing very well overall. JT: I like free deals; he seems disorganized </t>
  </si>
  <si>
    <t xml:space="preserve">Mad at JT </t>
  </si>
  <si>
    <t>Ariel Menchaca</t>
  </si>
  <si>
    <t>817-565-9399</t>
  </si>
  <si>
    <t>ariel@myershomebuyers.com</t>
  </si>
  <si>
    <t>Everythings been great. Training and mentorship great.</t>
  </si>
  <si>
    <t>Still healing from medical emergency. Moving at a slower pace. Super go getter. ww</t>
  </si>
  <si>
    <t>Super busy with Life. Health is good. Will be more engaged in June</t>
  </si>
  <si>
    <t>Jesse Wang</t>
  </si>
  <si>
    <t>214-516-5745</t>
  </si>
  <si>
    <t>jwang@myershomebuyers.com</t>
  </si>
  <si>
    <t>Scraping - learning to find these off market properties. Find it very empowering to find off market deals. Training
young adults - evening events are great
Older - events during day and classes in day</t>
  </si>
  <si>
    <t xml:space="preserve">Jesse is great at self managing. He already got training from JT. Feels like he doesn't need it but will when he wants to jump into aquisitions. </t>
  </si>
  <si>
    <t>Writing a contract</t>
  </si>
  <si>
    <t>Excited for front side contract class. likes boring classes. Waiting for front side contract class. Q &amp; A with JT favorite!</t>
  </si>
  <si>
    <t xml:space="preserve">Front load 1st recruit in terms of percentage until we get bigger. would bring his NPS score to an 8. You have to work hard to achieve. JT makes it painfully easy to understand what you do. Bird Dogging - building a giant bird dog network. Less the training and more the doing. Doesnt feel good in terms of consistency. Feels scary when if you stop working you're missing out. </t>
  </si>
  <si>
    <t>Lucrece Mary Fisher</t>
  </si>
  <si>
    <t>817-449-8600</t>
  </si>
  <si>
    <t>lfisher@myershomebuyers.com</t>
  </si>
  <si>
    <t>Exposure and training. JT trainings were amazing. Learn from him and through trial and error learn the rest/ translate the rest</t>
  </si>
  <si>
    <t xml:space="preserve">(45) Struggling to pay the Association Dues. Willl have convo with her husband tonight. </t>
  </si>
  <si>
    <t xml:space="preserve">Doing well, grinding out, likes carrot started setting it up. Seems to be griding. Lots of investors not ready till next month. GP called only 8. Not 25 calls a day maybe a day. </t>
  </si>
  <si>
    <t>Called, needs support with laptop. Reached out to Araz, he never got back to her. Reached out to JD and he never got back to her. texted and called both. Secondary classes if you cant make it to this one you can make it to the next</t>
  </si>
  <si>
    <t>Jesse Korsah</t>
  </si>
  <si>
    <t>979-331-8264</t>
  </si>
  <si>
    <t>jkorsah@myershomebuyers.com</t>
  </si>
  <si>
    <t>Doing well. Asked abut getting paied out early. Deal closes on 30th
The vlaue is leadership willing to help, no true value yet; we need more stability.</t>
  </si>
  <si>
    <t xml:space="preserve">(15min) Has dance practice for an Indian wedding LOL. Zoho Sign is horrendous. Replacing that with Zip Forms. Needs more stability in terms of contract to close. AA side of what the company wants. </t>
  </si>
  <si>
    <t xml:space="preserve">Very happy. He has two closings. Got his first paycheck. Another closing this week. JT's been great. Office situation is dire. JT's wife is mad. </t>
  </si>
  <si>
    <t>Doing Well!</t>
  </si>
  <si>
    <t>Doing well! Admits to being lazy and inconsistent recently due to soccer games</t>
  </si>
  <si>
    <t>Corina Banks</t>
  </si>
  <si>
    <t>469-583-3184</t>
  </si>
  <si>
    <t>cbanks@myershomebuyers.com</t>
  </si>
  <si>
    <t>Mad at steven. Steven wont waive the late fees
Im happy in myers. You gotta hustle. I love the support everyone is giving me, messgaes in slack. I want to know the spread. What is the highest bid? I want to know. I cant focus on anything else until I start making money.</t>
  </si>
  <si>
    <t>(20min) Do I want to jump into aquisitions? JTs more focused on Jesse and Araz because they are in aquisitions that is JTs specialty. Will I get the same support. Needs Clarity.</t>
  </si>
  <si>
    <t>Having trouble getting people to sign the form. People are scared. She's getting in her head and feeling very discouraged. Thinking of setting her up with Araz who can train her</t>
  </si>
  <si>
    <t xml:space="preserve">JT is cool now. Rideing the wave. Lancaster, farmers branch, arlington - doesn't follow through; doesnt communicate; price too high. Doesn't know what he's doing with his deals. Doesnt communicate with whats going. </t>
  </si>
  <si>
    <t>Struggling. Needs to make money. Wants to move to aquisition. Property walk through - estimates repairs</t>
  </si>
  <si>
    <t>Cynthia Orozco</t>
  </si>
  <si>
    <t>214-673-7395</t>
  </si>
  <si>
    <t>corozco@myershomebuyers.com</t>
  </si>
  <si>
    <t>Araz was a huge help, Josh meetings review comps,</t>
  </si>
  <si>
    <t xml:space="preserve">(23 minutes) Likes Electric Shuffle. Outside - Chicken &amp; Pickle. Enjoys evaluating a deal. Values more aquisiitons. But loves evaluating a deal. Has a lot on her plate - kids in college and in pro baseball, two flips, and joining JTs team.  </t>
  </si>
  <si>
    <t xml:space="preserve">Reading his book; never say "you dont know or no" get it done make it happen figure it out. </t>
  </si>
  <si>
    <t xml:space="preserve">Frustrated with JT. Not making money or getting enough deal flow. Has a very busy summer with kids though. </t>
  </si>
  <si>
    <t>Alejandra Valenciana</t>
  </si>
  <si>
    <t>972-480-7635</t>
  </si>
  <si>
    <t>avalenciana@myershomebuyers.com</t>
  </si>
  <si>
    <t>will call back
Prompt Responses in Leadership. What can contriubute to your success - More inventory. Learned a lot investors I worked for. Trainings helped a lot but I dont join 101 so id rather spend that time talking to investors. Expanding in different trainings. More information in unique situations on probrate, etc.
Adding traditional real estate is important!! What's the time line.
hungry to keep going and keep growing.</t>
  </si>
  <si>
    <t>Melody Girard</t>
  </si>
  <si>
    <t>LEFT</t>
  </si>
  <si>
    <t>Left</t>
  </si>
  <si>
    <t>Couldn't pull property scrapes - Metro TEX | Classes wern't the problem</t>
  </si>
  <si>
    <t>817-458-6543</t>
  </si>
  <si>
    <t>amenchaca@myershomebuyers.com</t>
  </si>
  <si>
    <t>will I have complete control of my business if i leave with carrot?</t>
  </si>
  <si>
    <t xml:space="preserve">Recruiting feels like pulling teeth. People prefer salary. Struggling to recruit. </t>
  </si>
  <si>
    <t>Feels like the agents are working inconsistently. Only him and Ariel are consistent. His brothers truck burned down, he was almost struck by lightning, his son was almost hit by an ATV</t>
  </si>
  <si>
    <t>Jordan Alvarado</t>
  </si>
  <si>
    <t>817-673-9004</t>
  </si>
  <si>
    <t>jalvarado@myershomebuyers.com</t>
  </si>
  <si>
    <t xml:space="preserve">Did not like working with JD at the career fair. He felt like he just dumped his business cards out and dipped. He provides really interesting information. </t>
  </si>
  <si>
    <t>Francisco Garcia</t>
  </si>
  <si>
    <t>214-315-7714</t>
  </si>
  <si>
    <t>fgarcia@myershomebuyers.com</t>
  </si>
  <si>
    <t>Stephanie Torres</t>
  </si>
  <si>
    <t>469-344-0706</t>
  </si>
  <si>
    <t>storres@myershomebuyers.com</t>
  </si>
  <si>
    <t>Flight Risk</t>
  </si>
  <si>
    <t xml:space="preserve">JD skrewed her over on a carolton deal. She had the highest offer but JD sold to his investor then promised her 20% but did not stay true to his word. </t>
  </si>
  <si>
    <t>Lauren Paschall</t>
  </si>
  <si>
    <t>214-682-9730</t>
  </si>
  <si>
    <t>lpaschall@myershomebuyers.com</t>
  </si>
  <si>
    <t xml:space="preserve">Hates Zoho. Has been sick. </t>
  </si>
  <si>
    <t xml:space="preserve">Got in a car accident!! Having personal issues - Lauren Centric. </t>
  </si>
  <si>
    <t>Taking two months off for a detox from medication. Doing well though.</t>
  </si>
  <si>
    <t>Jeremy Woodard</t>
  </si>
  <si>
    <t>469-745-2480</t>
  </si>
  <si>
    <t>jwoodard@myershomebuyers.com</t>
  </si>
  <si>
    <t>No answer</t>
  </si>
  <si>
    <t xml:space="preserve">4-6 call hour investors / aquisitions call hour in morning. hit them up before anyone else </t>
  </si>
  <si>
    <t>Jeanne Benton</t>
  </si>
  <si>
    <t>337-258-1093</t>
  </si>
  <si>
    <t>jbenton@myershomebuyers.com</t>
  </si>
  <si>
    <t>Balancing School</t>
  </si>
  <si>
    <t>In India</t>
  </si>
  <si>
    <t xml:space="preserve">Doing well, made two sales, seems very busy. </t>
  </si>
  <si>
    <t>972-836-9068</t>
  </si>
  <si>
    <t>Seems to be doing well; needs more time to call investors and build that data base. Has one son that does competitive track. Going to huston I believe for his game</t>
  </si>
  <si>
    <t>512-461-5516</t>
  </si>
  <si>
    <t>In michigan with girlfriend and her two kids!</t>
  </si>
  <si>
    <t>214-793-1815</t>
  </si>
  <si>
    <t>Doing great! Feels very supported. Seems close to getting her first Aquisition with JT!! Has volleyball going on. Coaches volleyball I believe</t>
  </si>
  <si>
    <t>Kevi King</t>
  </si>
  <si>
    <t>(945) 336-3818</t>
  </si>
  <si>
    <t>Keviking07@gmail.com</t>
  </si>
  <si>
    <t>07/06/26: Just getting started!!</t>
  </si>
  <si>
    <t>Richard Sciple</t>
  </si>
  <si>
    <t>(972) 467-3575‬</t>
  </si>
  <si>
    <t>rsciple123@gmail.com</t>
  </si>
  <si>
    <t>Unlicensed</t>
  </si>
  <si>
    <t>Robert Pierce</t>
  </si>
  <si>
    <t>469-408-7341</t>
  </si>
  <si>
    <t>rpierce@myershomebuyers.com</t>
  </si>
  <si>
    <t>Will never come to the events bc he has kids and likes to be with them after 4</t>
  </si>
  <si>
    <t>Michael Spanjol</t>
  </si>
  <si>
    <t>469-595-3084</t>
  </si>
  <si>
    <t>michael@myershomebuyers.com</t>
  </si>
  <si>
    <t>Rachel Slay</t>
  </si>
  <si>
    <t>423-201-0684</t>
  </si>
  <si>
    <t>rslay@myershomebuyers.com</t>
  </si>
  <si>
    <t xml:space="preserve">Very diffent experience. </t>
  </si>
  <si>
    <t>817-791-0621</t>
  </si>
  <si>
    <t>Daychell Bridges</t>
  </si>
  <si>
    <t>214-392-0408</t>
  </si>
  <si>
    <t>dbridges@myershomebuyers.com</t>
  </si>
  <si>
    <t>Gabe Fisher</t>
  </si>
  <si>
    <t>316-882-3333</t>
  </si>
  <si>
    <t>gf@myershomebuyers.com</t>
  </si>
  <si>
    <t>Not reached</t>
  </si>
  <si>
    <t>Crystal Reyna</t>
  </si>
  <si>
    <t>214-734-8476</t>
  </si>
  <si>
    <t>creyna@myershomebuyers.com</t>
  </si>
  <si>
    <t>Jordan Reddic</t>
  </si>
  <si>
    <t>945-251-2420</t>
  </si>
  <si>
    <t>jreddic@myershomebuyers.com</t>
  </si>
  <si>
    <t>Allan Reyes</t>
  </si>
  <si>
    <t>214-600-5414</t>
  </si>
  <si>
    <t>areyes@myershomebuyers.com</t>
  </si>
  <si>
    <t>Adam Esposito</t>
  </si>
  <si>
    <t>214-632-5382</t>
  </si>
  <si>
    <t>adam@myershomebuyers.com</t>
  </si>
  <si>
    <t>Brance Poempipatana</t>
  </si>
  <si>
    <t>469-569-7529</t>
  </si>
  <si>
    <t>brance@myershomebuyers.com</t>
  </si>
  <si>
    <t>Sam Onilenla</t>
  </si>
  <si>
    <t>720-628-6942</t>
  </si>
  <si>
    <t>sonilenla@myershomebuyers.com</t>
  </si>
  <si>
    <t>going into the office and having that community; having amamzing mentors who passed on wisdom; training
leaving myers; wants to meet goals; had deals close but all were under 2k; deals woul get dragged out buyer backed out. 3k-&gt;1700. WAnts to get into the commercial space; took job after layoff; josh jt have immense amount of knowledge. Economic development. The uncertinty was stressful.</t>
  </si>
  <si>
    <t>Linda Torres</t>
  </si>
  <si>
    <t>972-363-5112</t>
  </si>
  <si>
    <t>ltorres@myershomebuyers.com</t>
  </si>
  <si>
    <t>X</t>
  </si>
  <si>
    <t>Tania Johnson</t>
  </si>
  <si>
    <t>946-713-5437</t>
  </si>
  <si>
    <t>tjohnson@myershomebuyers.com</t>
  </si>
  <si>
    <t>Royce See</t>
  </si>
  <si>
    <t>281-659-7838</t>
  </si>
  <si>
    <t>has not signed paperwork</t>
  </si>
  <si>
    <t>LaToyia White</t>
  </si>
  <si>
    <t>468-401-0315</t>
  </si>
  <si>
    <t>Devin Aguilar</t>
  </si>
  <si>
    <t>214-578-6441</t>
  </si>
  <si>
    <t>daguilar@myershomebuyers.com</t>
  </si>
  <si>
    <t>Sam McCracken</t>
  </si>
  <si>
    <t>334-224-5942</t>
  </si>
  <si>
    <t>Smccracken@myershomebuyers.com</t>
  </si>
  <si>
    <t>Riley Terry</t>
  </si>
  <si>
    <t>817-403-6902</t>
  </si>
  <si>
    <t>rterry@myershomebuyers.com</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</si>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</sst>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ddd\ mmmm\ d\,\ yyyy"/>
  </numFmts>
  <fonts count="17" x14ac:knownFonts="1">
    <font>
      <sz val="11"/>
      <color theme="1"/>
      <name val="Calibri"/>
      <scheme val="minor"/>
    </font>
    <font>
      <sz val="11"/>
      <color theme="1"/>
      <name val="Calibri"/>
      <family val="2"/>
      <scheme val="minor"/>
    </font>
    <font>
      <sz val="11"/>
      <name val="Calibri"/>
      <family val="2"/>
    </font>
    <font>
      <b/>
      <sz val="20"/>
      <color rgb="FF1F1F1F"/>
      <name val="Arial"/>
      <family val="2"/>
    </font>
    <font>
      <i/>
      <sz val="10"/>
      <color rgb="FF666666"/>
      <name val="Arial"/>
      <family val="2"/>
    </font>
    <font>
      <b/>
      <sz val="11"/>
      <color rgb="FF1F1F1F"/>
      <name val="Arial"/>
      <family val="2"/>
    </font>
    <font>
      <b/>
      <sz val="11"/>
      <color rgb="FF9C0006"/>
      <name val="Arial"/>
      <family val="2"/>
    </font>
    <font>
      <b/>
      <sz val="11"/>
      <color rgb="FFFFFFFF"/>
      <name val="Arial"/>
      <family val="2"/>
    </font>
    <font>
      <b/>
      <sz val="11"/>
      <color theme="0"/>
      <name val="Arial"/>
      <family val="2"/>
    </font>
    <font>
      <b/>
      <sz val="11"/>
      <color rgb="FFFFFFFF"/>
      <name val="Arial"/>
      <family val="2"/>
    </font>
    <font>
      <b/>
      <sz val="10"/>
      <color rgb="FFFFFFFF"/>
      <name val="Arial"/>
      <family val="2"/>
    </font>
    <font>
      <sz val="11"/>
      <color rgb="FF1F1F1F"/>
      <name val="Arial"/>
      <family val="2"/>
    </font>
    <font>
      <sz val="10"/>
      <color rgb="FF1F1F1F"/>
      <name val="Arial"/>
      <family val="2"/>
    </font>
    <font>
      <sz val="11"/>
      <color theme="1"/>
      <name val="Calibri"/>
      <family val="2"/>
    </font>
    <font>
      <sz val="11"/>
      <color rgb="FF1F1F1F"/>
      <name val="Arial"/>
      <family val="2"/>
    </font>
    <font>
      <b/>
      <u/>
      <sz val="11"/>
      <color theme="1"/>
      <name val="Calibri"/>
      <family val="2"/>
      <scheme val="minor"/>
    </font>
    <font>
      <b/>
      <u/>
      <sz val="11"/>
      <color theme="1"/>
      <name val="Calibri"/>
      <family val="2"/>
      <scheme val="minor"/>
    </font>
  </fonts>
  <fills count="12">
    <fill>
      <patternFill patternType="none"/>
    </fill>
    <fill>
      <patternFill patternType="gray125"/>
    </fill>
    <fill>
      <patternFill patternType="solid">
        <fgColor rgb="FFFFFFFF"/>
        <bgColor rgb="FFFFFFFF"/>
      </patternFill>
    </fill>
    <fill>
      <patternFill patternType="solid">
        <fgColor rgb="FF1F1F1F"/>
        <bgColor rgb="FF1F1F1F"/>
      </patternFill>
    </fill>
    <fill>
      <patternFill patternType="solid">
        <fgColor rgb="FF000000"/>
        <bgColor rgb="FF000000"/>
      </patternFill>
    </fill>
    <fill>
      <patternFill patternType="solid">
        <fgColor rgb="FFC9A961"/>
        <bgColor rgb="FFC9A961"/>
      </patternFill>
    </fill>
    <fill>
      <patternFill patternType="solid">
        <fgColor rgb="FFF5EFE0"/>
        <bgColor rgb="FFF5EFE0"/>
      </patternFill>
    </fill>
    <fill>
      <patternFill patternType="solid">
        <fgColor rgb="FF808080"/>
        <bgColor rgb="FF808080"/>
      </patternFill>
    </fill>
    <fill>
      <patternFill patternType="solid">
        <fgColor rgb="FFFFC7CE"/>
        <bgColor rgb="FFFFC7CE"/>
      </patternFill>
    </fill>
    <fill>
      <patternFill patternType="solid">
        <fgColor rgb="FFFF0000"/>
        <bgColor rgb="FFFF0000"/>
      </patternFill>
    </fill>
    <fill>
      <patternFill patternType="solid">
        <fgColor rgb="FFCCCCCC"/>
        <bgColor rgb="FFCCCCCC"/>
      </patternFill>
    </fill>
    <fill>
      <patternFill patternType="solid">
        <fgColor rgb="FFFFEB9C"/>
        <bgColor rgb="FFFFEB9C"/>
      </patternFill>
    </fill>
  </fills>
  <borders count="14">
    <border>
      <left/>
      <right/>
      <top/>
      <bottom/>
      <diagonal/>
    </border>
    <border>
      <left style="thin">
        <color rgb="FF000000"/>
      </left>
      <right/>
      <top style="thin">
        <color rgb="FF000000"/>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D9D2C0"/>
      </left>
      <right/>
      <top style="thin">
        <color rgb="FFD9D2C0"/>
      </top>
      <bottom style="thin">
        <color rgb="FF000000"/>
      </bottom>
      <diagonal/>
    </border>
    <border>
      <left/>
      <right style="thin">
        <color rgb="FFD9D2C0"/>
      </right>
      <top style="thin">
        <color rgb="FFD9D2C0"/>
      </top>
      <bottom style="thin">
        <color rgb="FF000000"/>
      </bottom>
      <diagonal/>
    </border>
    <border>
      <left style="thin">
        <color rgb="FF000000"/>
      </left>
      <right style="thin">
        <color rgb="FF000000"/>
      </right>
      <top style="thin">
        <color rgb="FF000000"/>
      </top>
      <bottom style="thin">
        <color rgb="FF000000"/>
      </bottom>
      <diagonal/>
    </border>
    <border>
      <left/>
      <right/>
      <top/>
      <bottom/>
      <diagonal/>
    </border>
    <border>
      <left/>
      <right/>
      <top/>
      <bottom/>
      <diagonal/>
    </border>
    <border>
      <left/>
      <right/>
      <top/>
      <bottom/>
      <diagonal/>
    </border>
    <border>
      <left style="thin">
        <color rgb="FF000000"/>
      </left>
      <right/>
      <top/>
      <bottom/>
      <diagonal/>
    </border>
    <border>
      <left/>
      <right style="thin">
        <color rgb="FF000000"/>
      </right>
      <top/>
      <bottom/>
      <diagonal/>
    </border>
    <border>
      <left/>
      <right/>
      <top/>
      <bottom style="thin">
        <color rgb="FF7F6000"/>
      </bottom>
      <diagonal/>
    </border>
  </borders>
  <cellStyleXfs count="1">
    <xf numFmtId="0" fontId="0" fillId="0" borderId="0"/>
  </cellStyleXfs>
  <cellXfs count="59">
    <xf numFmtId="0" fontId="0" fillId="0" borderId="0" xfId="0"/>
    <xf numFmtId="0" fontId="1" fillId="0" borderId="0" xfId="0" applyFont="1"/>
    <xf numFmtId="0" fontId="1" fillId="0" borderId="0" xfId="0" applyFont="1" applyAlignment="1">
      <alignment wrapText="1"/>
    </xf>
    <xf numFmtId="0" fontId="3" fillId="0" borderId="0" xfId="0" applyFont="1"/>
    <xf numFmtId="0" fontId="4" fillId="0" borderId="0" xfId="0" applyFont="1"/>
    <xf numFmtId="0" fontId="5" fillId="0" borderId="0" xfId="0" applyFont="1"/>
    <xf numFmtId="0" fontId="6" fillId="0" borderId="0" xfId="0" applyFont="1"/>
    <xf numFmtId="0" fontId="1" fillId="0" borderId="1" xfId="0" applyFont="1" applyBorder="1"/>
    <xf numFmtId="0" fontId="7" fillId="3" borderId="0" xfId="0" applyFont="1" applyFill="1" applyAlignment="1">
      <alignment horizontal="center" vertical="center"/>
    </xf>
    <xf numFmtId="0" fontId="1" fillId="0" borderId="4" xfId="0" applyFont="1" applyBorder="1" applyAlignment="1">
      <alignment wrapText="1"/>
    </xf>
    <xf numFmtId="0" fontId="1" fillId="0" borderId="4" xfId="0" applyFont="1" applyBorder="1"/>
    <xf numFmtId="0" fontId="1" fillId="0" borderId="7" xfId="0" applyFont="1" applyBorder="1"/>
    <xf numFmtId="0" fontId="10" fillId="3" borderId="0" xfId="0" applyFont="1" applyFill="1" applyAlignment="1">
      <alignment horizontal="left" vertical="center"/>
    </xf>
    <xf numFmtId="0" fontId="10" fillId="3" borderId="8" xfId="0" applyFont="1" applyFill="1" applyBorder="1" applyAlignment="1">
      <alignment horizontal="center" vertical="center"/>
    </xf>
    <xf numFmtId="0" fontId="10" fillId="3" borderId="9" xfId="0" applyFont="1" applyFill="1" applyBorder="1" applyAlignment="1">
      <alignment horizontal="center" vertical="center"/>
    </xf>
    <xf numFmtId="0" fontId="10" fillId="3" borderId="10" xfId="0" applyFont="1" applyFill="1" applyBorder="1" applyAlignment="1">
      <alignment horizontal="center" vertical="center"/>
    </xf>
    <xf numFmtId="0" fontId="10" fillId="3" borderId="11" xfId="0" applyFont="1" applyFill="1" applyBorder="1" applyAlignment="1">
      <alignment horizontal="center" vertical="center"/>
    </xf>
    <xf numFmtId="0" fontId="10" fillId="3" borderId="12" xfId="0" applyFont="1" applyFill="1" applyBorder="1" applyAlignment="1">
      <alignment horizontal="center" vertical="center"/>
    </xf>
    <xf numFmtId="0" fontId="10" fillId="3" borderId="10" xfId="0" applyFont="1" applyFill="1" applyBorder="1" applyAlignment="1">
      <alignment horizontal="center" vertical="center" wrapText="1"/>
    </xf>
    <xf numFmtId="0" fontId="1" fillId="0" borderId="13" xfId="0" applyFont="1" applyBorder="1"/>
    <xf numFmtId="0" fontId="11" fillId="6" borderId="7" xfId="0" applyFont="1" applyFill="1" applyBorder="1" applyAlignment="1">
      <alignment vertical="top"/>
    </xf>
    <xf numFmtId="0" fontId="11" fillId="6" borderId="7" xfId="0" applyFont="1" applyFill="1" applyBorder="1" applyAlignment="1">
      <alignment horizontal="center" vertical="top"/>
    </xf>
    <xf numFmtId="0" fontId="12" fillId="6" borderId="7" xfId="0" applyFont="1" applyFill="1" applyBorder="1" applyAlignment="1">
      <alignment horizontal="center" vertical="center"/>
    </xf>
    <xf numFmtId="0" fontId="12" fillId="6" borderId="7" xfId="0" applyFont="1" applyFill="1" applyBorder="1" applyAlignment="1">
      <alignment vertical="top" wrapText="1"/>
    </xf>
    <xf numFmtId="0" fontId="11" fillId="6" borderId="7" xfId="0" applyFont="1" applyFill="1" applyBorder="1" applyAlignment="1">
      <alignment vertical="top" wrapText="1"/>
    </xf>
    <xf numFmtId="0" fontId="12" fillId="2" borderId="7" xfId="0" applyFont="1" applyFill="1" applyBorder="1" applyAlignment="1">
      <alignment horizontal="center" vertical="center"/>
    </xf>
    <xf numFmtId="0" fontId="12" fillId="2" borderId="7" xfId="0" applyFont="1" applyFill="1" applyBorder="1" applyAlignment="1">
      <alignment vertical="top" wrapText="1"/>
    </xf>
    <xf numFmtId="0" fontId="11" fillId="7" borderId="7" xfId="0" applyFont="1" applyFill="1" applyBorder="1" applyAlignment="1">
      <alignment horizontal="center" vertical="top"/>
    </xf>
    <xf numFmtId="0" fontId="11" fillId="8" borderId="7" xfId="0" applyFont="1" applyFill="1" applyBorder="1" applyAlignment="1">
      <alignment horizontal="center" vertical="top"/>
    </xf>
    <xf numFmtId="0" fontId="12" fillId="9" borderId="7" xfId="0" applyFont="1" applyFill="1" applyBorder="1" applyAlignment="1">
      <alignment vertical="top" wrapText="1"/>
    </xf>
    <xf numFmtId="0" fontId="13" fillId="0" borderId="0" xfId="0" applyFont="1"/>
    <xf numFmtId="0" fontId="14" fillId="6" borderId="7" xfId="0" applyFont="1" applyFill="1" applyBorder="1" applyAlignment="1">
      <alignment vertical="top"/>
    </xf>
    <xf numFmtId="0" fontId="14" fillId="6" borderId="7" xfId="0" applyFont="1" applyFill="1" applyBorder="1" applyAlignment="1">
      <alignment horizontal="center" vertical="top"/>
    </xf>
    <xf numFmtId="0" fontId="13" fillId="0" borderId="7" xfId="0" applyFont="1" applyBorder="1"/>
    <xf numFmtId="0" fontId="13" fillId="6" borderId="7" xfId="0" applyFont="1" applyFill="1" applyBorder="1" applyAlignment="1">
      <alignment vertical="top"/>
    </xf>
    <xf numFmtId="0" fontId="15" fillId="0" borderId="7" xfId="0" applyFont="1" applyBorder="1"/>
    <xf numFmtId="0" fontId="16" fillId="0" borderId="0" xfId="0" applyFont="1"/>
    <xf numFmtId="0" fontId="11" fillId="10" borderId="7" xfId="0" applyFont="1" applyFill="1" applyBorder="1" applyAlignment="1">
      <alignment vertical="top"/>
    </xf>
    <xf numFmtId="0" fontId="11" fillId="10" borderId="7" xfId="0" applyFont="1" applyFill="1" applyBorder="1" applyAlignment="1">
      <alignment horizontal="center" vertical="top"/>
    </xf>
    <xf numFmtId="0" fontId="1" fillId="10" borderId="7" xfId="0" applyFont="1" applyFill="1" applyBorder="1"/>
    <xf numFmtId="0" fontId="11" fillId="10" borderId="7" xfId="0" applyFont="1" applyFill="1" applyBorder="1" applyAlignment="1">
      <alignment vertical="top" wrapText="1"/>
    </xf>
    <xf numFmtId="0" fontId="12" fillId="10" borderId="7" xfId="0" applyFont="1" applyFill="1" applyBorder="1" applyAlignment="1">
      <alignment horizontal="center" vertical="center"/>
    </xf>
    <xf numFmtId="0" fontId="1" fillId="10" borderId="0" xfId="0" applyFont="1" applyFill="1"/>
    <xf numFmtId="0" fontId="12" fillId="10" borderId="7" xfId="0" applyFont="1" applyFill="1" applyBorder="1" applyAlignment="1">
      <alignment vertical="top" wrapText="1"/>
    </xf>
    <xf numFmtId="0" fontId="11" fillId="11" borderId="7" xfId="0" applyFont="1" applyFill="1" applyBorder="1" applyAlignment="1">
      <alignment horizontal="center" vertical="top"/>
    </xf>
    <xf numFmtId="0" fontId="7" fillId="4" borderId="4" xfId="0" applyFont="1" applyFill="1" applyBorder="1" applyAlignment="1">
      <alignment horizontal="center" vertical="center"/>
    </xf>
    <xf numFmtId="0" fontId="2" fillId="0" borderId="2" xfId="0" applyFont="1" applyBorder="1"/>
    <xf numFmtId="0" fontId="2" fillId="0" borderId="3" xfId="0" applyFont="1" applyBorder="1"/>
    <xf numFmtId="0" fontId="5" fillId="5" borderId="4" xfId="0" applyFont="1" applyFill="1" applyBorder="1" applyAlignment="1">
      <alignment horizontal="center" vertical="center"/>
    </xf>
    <xf numFmtId="166" fontId="9" fillId="4" borderId="5" xfId="0" applyNumberFormat="1" applyFont="1" applyFill="1" applyBorder="1" applyAlignment="1">
      <alignment horizontal="center" wrapText="1"/>
    </xf>
    <xf numFmtId="0" fontId="2" fillId="0" borderId="6" xfId="0" applyFont="1" applyBorder="1"/>
    <xf numFmtId="0" fontId="3" fillId="0" borderId="0" xfId="0" applyFont="1"/>
    <xf numFmtId="0" fontId="0" fillId="0" borderId="0" xfId="0"/>
    <xf numFmtId="0" fontId="4" fillId="0" borderId="0" xfId="0" applyFont="1"/>
    <xf numFmtId="0" fontId="5" fillId="0" borderId="0" xfId="0" applyFont="1"/>
    <xf numFmtId="0" fontId="6" fillId="0" borderId="0" xfId="0" applyFont="1"/>
    <xf numFmtId="0" fontId="7" fillId="3" borderId="0" xfId="0" applyFont="1" applyFill="1" applyAlignment="1">
      <alignment horizontal="center" vertical="center"/>
    </xf>
    <xf numFmtId="0" fontId="8" fillId="4" borderId="2" xfId="0" applyFont="1" applyFill="1" applyBorder="1" applyAlignment="1">
      <alignment horizontal="center" vertical="center"/>
    </xf>
    <xf numFmtId="0" fontId="8" fillId="4" borderId="4" xfId="0" applyFont="1" applyFill="1" applyBorder="1" applyAlignment="1">
      <alignment horizontal="center" vertical="center"/>
    </xf>
  </cellXfs>
  <cellStyles count="1">
    <cellStyle name="Normal" xfId="0" builtinId="0"/>
  </cellStyles>
  <dxfs count="27">
    <dxf>
      <font>
        <b/>
        <sz val="10"/>
        <color rgb="FF9C5700"/>
        <name val="Arial"/>
      </font>
      <fill>
        <patternFill patternType="solid">
          <fgColor rgb="FFFFEB9C"/>
          <bgColor rgb="FFFFEB9C"/>
        </patternFill>
      </fill>
    </dxf>
    <dxf>
      <font>
        <b/>
        <sz val="10"/>
        <color rgb="FF9C0006"/>
        <name val="Arial"/>
      </font>
      <fill>
        <patternFill patternType="solid">
          <fgColor rgb="FFFFC7CE"/>
          <bgColor rgb="FFFFC7CE"/>
        </patternFill>
      </fill>
    </dxf>
    <dxf>
      <font>
        <b/>
        <sz val="10"/>
        <color rgb="FF006100"/>
        <name val="Arial"/>
      </font>
      <fill>
        <patternFill patternType="solid">
          <fgColor rgb="FFC6EFCE"/>
          <bgColor rgb="FFC6EFCE"/>
        </patternFill>
      </fill>
    </dxf>
    <dxf>
      <font>
        <b/>
        <sz val="10"/>
        <color rgb="FF9C5700"/>
        <name val="Arial"/>
      </font>
      <fill>
        <patternFill patternType="solid">
          <fgColor rgb="FFFFEB9C"/>
          <bgColor rgb="FFFFEB9C"/>
        </patternFill>
      </fill>
    </dxf>
    <dxf>
      <font>
        <b/>
        <sz val="10"/>
        <color rgb="FF9C0006"/>
        <name val="Arial"/>
      </font>
      <fill>
        <patternFill patternType="solid">
          <fgColor rgb="FFFFC7CE"/>
          <bgColor rgb="FFFFC7CE"/>
        </patternFill>
      </fill>
    </dxf>
    <dxf>
      <font>
        <b/>
        <sz val="10"/>
        <color rgb="FF006100"/>
        <name val="Arial"/>
      </font>
      <fill>
        <patternFill patternType="solid">
          <fgColor rgb="FFC6EFCE"/>
          <bgColor rgb="FFC6EFCE"/>
        </patternFill>
      </fill>
    </dxf>
    <dxf>
      <font>
        <b/>
        <sz val="10"/>
        <color rgb="FF9C5700"/>
        <name val="Arial"/>
      </font>
      <fill>
        <patternFill patternType="solid">
          <fgColor rgb="FFFFEB9C"/>
          <bgColor rgb="FFFFEB9C"/>
        </patternFill>
      </fill>
    </dxf>
    <dxf>
      <font>
        <b/>
        <sz val="10"/>
        <color rgb="FF9C0006"/>
        <name val="Arial"/>
      </font>
      <fill>
        <patternFill patternType="solid">
          <fgColor rgb="FFFFC7CE"/>
          <bgColor rgb="FFFFC7CE"/>
        </patternFill>
      </fill>
    </dxf>
    <dxf>
      <font>
        <b/>
        <sz val="10"/>
        <color rgb="FF006100"/>
        <name val="Arial"/>
      </font>
      <fill>
        <patternFill patternType="solid">
          <fgColor rgb="FFC6EFCE"/>
          <bgColor rgb="FFC6EFCE"/>
        </patternFill>
      </fill>
    </dxf>
    <dxf>
      <font>
        <b/>
        <sz val="10"/>
        <color rgb="FF9C0006"/>
        <name val="Arial"/>
      </font>
      <fill>
        <patternFill patternType="solid">
          <fgColor rgb="FFFFC7CE"/>
          <bgColor rgb="FFFFC7CE"/>
        </patternFill>
      </fill>
    </dxf>
    <dxf>
      <font>
        <b/>
        <sz val="10"/>
        <color rgb="FF9C5700"/>
        <name val="Arial"/>
      </font>
      <fill>
        <patternFill patternType="solid">
          <fgColor rgb="FFFFEB9C"/>
          <bgColor rgb="FFFFEB9C"/>
        </patternFill>
      </fill>
    </dxf>
    <dxf>
      <font>
        <b/>
        <sz val="10"/>
        <color rgb="FF006100"/>
        <name val="Arial"/>
      </font>
      <fill>
        <patternFill patternType="solid">
          <fgColor rgb="FFC6EFCE"/>
          <bgColor rgb="FFC6EFCE"/>
        </patternFill>
      </fill>
    </dxf>
    <dxf>
      <font>
        <b/>
        <sz val="10"/>
        <color rgb="FF9C5700"/>
        <name val="Arial"/>
      </font>
      <fill>
        <patternFill patternType="solid">
          <fgColor rgb="FFFFEB9C"/>
          <bgColor rgb="FFFFEB9C"/>
        </patternFill>
      </fill>
    </dxf>
    <dxf>
      <font>
        <b/>
        <sz val="10"/>
        <color rgb="FF9C0006"/>
        <name val="Arial"/>
      </font>
      <fill>
        <patternFill patternType="solid">
          <fgColor rgb="FFFFC7CE"/>
          <bgColor rgb="FFFFC7CE"/>
        </patternFill>
      </fill>
    </dxf>
    <dxf>
      <font>
        <b/>
        <sz val="10"/>
        <color rgb="FF006100"/>
        <name val="Arial"/>
      </font>
      <fill>
        <patternFill patternType="solid">
          <fgColor rgb="FFC6EFCE"/>
          <bgColor rgb="FFC6EFCE"/>
        </patternFill>
      </fill>
    </dxf>
    <dxf>
      <font>
        <b/>
        <sz val="10"/>
        <color rgb="FF9C5700"/>
        <name val="Arial"/>
      </font>
      <fill>
        <patternFill patternType="solid">
          <fgColor rgb="FFFFEB9C"/>
          <bgColor rgb="FFFFEB9C"/>
        </patternFill>
      </fill>
    </dxf>
    <dxf>
      <font>
        <b/>
        <sz val="10"/>
        <color rgb="FF9C0006"/>
        <name val="Arial"/>
      </font>
      <fill>
        <patternFill patternType="solid">
          <fgColor rgb="FFFFC7CE"/>
          <bgColor rgb="FFFFC7CE"/>
        </patternFill>
      </fill>
    </dxf>
    <dxf>
      <font>
        <b/>
        <sz val="10"/>
        <color rgb="FF006100"/>
        <name val="Arial"/>
      </font>
      <fill>
        <patternFill patternType="solid">
          <fgColor rgb="FFC6EFCE"/>
          <bgColor rgb="FFC6EFCE"/>
        </patternFill>
      </fill>
    </dxf>
    <dxf>
      <font>
        <b/>
        <sz val="10"/>
        <color rgb="FF006100"/>
        <name val="Arial"/>
      </font>
      <fill>
        <patternFill patternType="solid">
          <fgColor rgb="FFC6EFCE"/>
          <bgColor rgb="FFC6EFCE"/>
        </patternFill>
      </fill>
    </dxf>
    <dxf>
      <font>
        <b/>
        <sz val="10"/>
        <color rgb="FF9C5700"/>
        <name val="Arial"/>
      </font>
      <fill>
        <patternFill patternType="solid">
          <fgColor rgb="FFFFEB9C"/>
          <bgColor rgb="FFFFEB9C"/>
        </patternFill>
      </fill>
    </dxf>
    <dxf>
      <font>
        <b/>
        <sz val="10"/>
        <color rgb="FF9C0006"/>
        <name val="Arial"/>
      </font>
      <fill>
        <patternFill patternType="solid">
          <fgColor rgb="FFFFC7CE"/>
          <bgColor rgb="FFFFC7CE"/>
        </patternFill>
      </fill>
    </dxf>
    <dxf>
      <font>
        <b/>
        <sz val="10"/>
        <color rgb="FF9C0006"/>
        <name val="Arial"/>
      </font>
      <fill>
        <patternFill patternType="solid">
          <fgColor rgb="FFFFC7CE"/>
          <bgColor rgb="FFFFC7CE"/>
        </patternFill>
      </fill>
    </dxf>
    <dxf>
      <font>
        <b/>
        <sz val="10"/>
        <color rgb="FF9C5700"/>
        <name val="Arial"/>
      </font>
      <fill>
        <patternFill patternType="solid">
          <fgColor rgb="FFFFEB9C"/>
          <bgColor rgb="FFFFEB9C"/>
        </patternFill>
      </fill>
    </dxf>
    <dxf>
      <font>
        <b/>
        <sz val="10"/>
        <color rgb="FF006100"/>
        <name val="Arial"/>
      </font>
      <fill>
        <patternFill patternType="solid">
          <fgColor rgb="FFC6EFCE"/>
          <bgColor rgb="FFC6EFCE"/>
        </patternFill>
      </fill>
    </dxf>
    <dxf>
      <font>
        <b/>
        <sz val="10"/>
        <color rgb="FF9C0006"/>
        <name val="Arial"/>
      </font>
      <fill>
        <patternFill patternType="solid">
          <fgColor rgb="FFFFC7CE"/>
          <bgColor rgb="FFFFC7CE"/>
        </patternFill>
      </fill>
    </dxf>
    <dxf>
      <font>
        <b/>
        <sz val="10"/>
        <color rgb="FFFFFFFF"/>
        <name val="Arial"/>
      </font>
      <fill>
        <patternFill patternType="solid">
          <fgColor rgb="FF808080"/>
          <bgColor rgb="FF808080"/>
        </patternFill>
      </fill>
    </dxf>
    <dxf>
      <font>
        <sz val="10"/>
        <color rgb="FF9C5700"/>
        <name val="Arial"/>
      </font>
      <fill>
        <patternFill patternType="solid">
          <fgColor rgb="FFFFEB9C"/>
          <bgColor rgb="FFFFEB9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I981"/>
  <sheetViews>
    <sheetView showGridLines="0" tabSelected="1" workbookViewId="0">
      <pane xSplit="4" ySplit="8" topLeftCell="E9" activePane="bottomRight" state="frozen"/>
      <selection pane="topRight" activeCell="E1" sqref="E1"/>
      <selection pane="bottomLeft" activeCell="A9" sqref="A9"/>
      <selection pane="bottomRight" activeCell="E9" sqref="E9"/>
    </sheetView>
  </sheetViews>
  <sheetFormatPr baseColWidth="10" defaultColWidth="14.5" defaultRowHeight="15" customHeight="1" x14ac:dyDescent="0.2"/>
  <cols>
    <col min="1" max="1" width="2" customWidth="1"/>
    <col min="2" max="3" width="22" customWidth="1"/>
    <col min="4" max="4" width="18.5" customWidth="1"/>
    <col min="5" max="5" width="33.6640625" customWidth="1"/>
    <col min="6" max="6" width="14" customWidth="1"/>
    <col min="7" max="7" width="11" hidden="1" customWidth="1"/>
    <col min="8" max="8" width="50" hidden="1" customWidth="1"/>
    <col min="9" max="9" width="11" hidden="1" customWidth="1"/>
    <col min="10" max="10" width="50" hidden="1" customWidth="1"/>
    <col min="11" max="11" width="11" hidden="1" customWidth="1"/>
    <col min="12" max="12" width="50" hidden="1" customWidth="1"/>
    <col min="13" max="13" width="15.33203125" hidden="1" customWidth="1"/>
    <col min="14" max="14" width="11" hidden="1" customWidth="1"/>
    <col min="15" max="15" width="50" hidden="1" customWidth="1"/>
    <col min="16" max="16" width="11" hidden="1" customWidth="1"/>
    <col min="17" max="17" width="50" hidden="1" customWidth="1"/>
    <col min="18" max="18" width="11" hidden="1" customWidth="1"/>
    <col min="19" max="19" width="50" hidden="1" customWidth="1"/>
    <col min="20" max="20" width="11" hidden="1" customWidth="1"/>
    <col min="21" max="21" width="50" hidden="1" customWidth="1"/>
    <col min="22" max="22" width="11" hidden="1" customWidth="1"/>
    <col min="23" max="23" width="50" hidden="1" customWidth="1"/>
    <col min="24" max="24" width="53.33203125" customWidth="1"/>
    <col min="25" max="25" width="9.83203125" customWidth="1"/>
    <col min="26" max="26" width="11" customWidth="1"/>
    <col min="27" max="35" width="8.6640625" customWidth="1"/>
  </cols>
  <sheetData>
    <row r="1" spans="1:35" x14ac:dyDescent="0.2">
      <c r="X1" s="2"/>
    </row>
    <row r="2" spans="1:35" ht="30" customHeight="1" x14ac:dyDescent="0.25">
      <c r="B2" s="3"/>
      <c r="C2" s="51" t="s">
        <v>27</v>
      </c>
      <c r="D2" s="52"/>
      <c r="E2" s="52"/>
      <c r="F2" s="52"/>
      <c r="G2" s="52"/>
      <c r="H2" s="52"/>
      <c r="I2" s="52"/>
      <c r="J2" s="52"/>
      <c r="K2" s="52"/>
      <c r="L2" s="52"/>
      <c r="M2" s="52"/>
      <c r="N2" s="52"/>
      <c r="O2" s="52"/>
      <c r="P2" s="52"/>
      <c r="Q2" s="52"/>
      <c r="R2" s="52"/>
      <c r="S2" s="52"/>
      <c r="T2" s="52"/>
      <c r="U2" s="52"/>
      <c r="V2" s="52"/>
      <c r="W2" s="52"/>
      <c r="X2" s="2"/>
    </row>
    <row r="3" spans="1:35" x14ac:dyDescent="0.2">
      <c r="B3" s="4"/>
      <c r="C3" s="53" t="s">
        <v>28</v>
      </c>
      <c r="D3" s="52"/>
      <c r="E3" s="52"/>
      <c r="F3" s="52"/>
      <c r="G3" s="52"/>
      <c r="H3" s="52"/>
      <c r="I3" s="52"/>
      <c r="J3" s="52"/>
      <c r="K3" s="52"/>
      <c r="L3" s="52"/>
      <c r="M3" s="52"/>
      <c r="N3" s="52"/>
      <c r="O3" s="52"/>
      <c r="P3" s="52"/>
      <c r="Q3" s="52"/>
      <c r="R3" s="52"/>
      <c r="S3" s="52"/>
      <c r="T3" s="52"/>
      <c r="U3" s="52"/>
      <c r="V3" s="52"/>
      <c r="W3" s="52"/>
      <c r="X3" s="2"/>
    </row>
    <row r="4" spans="1:35" x14ac:dyDescent="0.2">
      <c r="X4" s="2"/>
    </row>
    <row r="5" spans="1:35" x14ac:dyDescent="0.2">
      <c r="B5" s="5"/>
      <c r="C5" s="5" t="s">
        <v>29</v>
      </c>
      <c r="D5" s="5">
        <f>COUNTA(C9:C52)</f>
        <v>43</v>
      </c>
      <c r="E5" s="5" t="s">
        <v>30</v>
      </c>
      <c r="F5" s="54" t="str">
        <f>COUNTIF(I9:I52,"Yes")&amp;" Yes / "&amp;COUNTIF(I9:I52,"No")&amp;" No / "&amp;COUNTIF(I9:I52,"Maybe")&amp;" Maybe"</f>
        <v>10 Yes / 16 No / 0 Maybe</v>
      </c>
      <c r="G5" s="52"/>
      <c r="H5" s="52"/>
      <c r="I5" s="52"/>
      <c r="J5" s="52"/>
      <c r="K5" s="55" t="s">
        <v>31</v>
      </c>
      <c r="L5" s="52"/>
      <c r="M5" s="6"/>
      <c r="N5" s="6">
        <f>COUNTIF(F9:F52,"Flight Risk")</f>
        <v>1</v>
      </c>
      <c r="X5" s="2"/>
    </row>
    <row r="6" spans="1:35" x14ac:dyDescent="0.2">
      <c r="X6" s="2"/>
    </row>
    <row r="7" spans="1:35" ht="33" customHeight="1" x14ac:dyDescent="0.2">
      <c r="A7" s="7"/>
      <c r="B7" s="8"/>
      <c r="C7" s="56" t="s">
        <v>32</v>
      </c>
      <c r="D7" s="52"/>
      <c r="E7" s="52"/>
      <c r="F7" s="52"/>
      <c r="G7" s="57" t="s">
        <v>33</v>
      </c>
      <c r="H7" s="47"/>
      <c r="I7" s="58" t="s">
        <v>34</v>
      </c>
      <c r="J7" s="47"/>
      <c r="K7" s="45" t="s">
        <v>35</v>
      </c>
      <c r="L7" s="46"/>
      <c r="M7" s="47"/>
      <c r="N7" s="48" t="s">
        <v>36</v>
      </c>
      <c r="O7" s="47"/>
      <c r="P7" s="48" t="s">
        <v>37</v>
      </c>
      <c r="Q7" s="47"/>
      <c r="R7" s="48" t="s">
        <v>38</v>
      </c>
      <c r="S7" s="47"/>
      <c r="T7" s="48" t="s">
        <v>39</v>
      </c>
      <c r="U7" s="47"/>
      <c r="V7" s="48" t="s">
        <v>40</v>
      </c>
      <c r="W7" s="47"/>
      <c r="X7" s="49">
        <v>46211</v>
      </c>
      <c r="Y7" s="50"/>
      <c r="Z7" s="9" t="s">
        <v>41</v>
      </c>
      <c r="AA7" s="10"/>
      <c r="AB7" s="10"/>
      <c r="AC7" s="10"/>
      <c r="AD7" s="10"/>
      <c r="AE7" s="10"/>
      <c r="AF7" s="10"/>
      <c r="AG7" s="10"/>
      <c r="AH7" s="10"/>
      <c r="AI7" s="11"/>
    </row>
    <row r="8" spans="1:35" ht="21.75" customHeight="1" x14ac:dyDescent="0.2">
      <c r="B8" s="12"/>
      <c r="C8" s="12" t="s">
        <v>0</v>
      </c>
      <c r="D8" s="12" t="s">
        <v>2</v>
      </c>
      <c r="E8" s="12" t="s">
        <v>1</v>
      </c>
      <c r="F8" s="12" t="s">
        <v>42</v>
      </c>
      <c r="G8" s="13" t="s">
        <v>43</v>
      </c>
      <c r="H8" s="14" t="s">
        <v>44</v>
      </c>
      <c r="I8" s="14" t="s">
        <v>43</v>
      </c>
      <c r="J8" s="15" t="s">
        <v>44</v>
      </c>
      <c r="K8" s="16" t="s">
        <v>43</v>
      </c>
      <c r="L8" s="14" t="s">
        <v>44</v>
      </c>
      <c r="M8" s="17" t="s">
        <v>45</v>
      </c>
      <c r="N8" s="13" t="s">
        <v>43</v>
      </c>
      <c r="O8" s="14" t="s">
        <v>44</v>
      </c>
      <c r="P8" s="14" t="s">
        <v>43</v>
      </c>
      <c r="Q8" s="14" t="s">
        <v>44</v>
      </c>
      <c r="R8" s="14" t="s">
        <v>43</v>
      </c>
      <c r="S8" s="14" t="s">
        <v>44</v>
      </c>
      <c r="T8" s="14" t="s">
        <v>46</v>
      </c>
      <c r="U8" s="14" t="s">
        <v>44</v>
      </c>
      <c r="V8" s="14" t="s">
        <v>43</v>
      </c>
      <c r="W8" s="14" t="s">
        <v>44</v>
      </c>
      <c r="X8" s="18" t="s">
        <v>44</v>
      </c>
      <c r="Y8" s="14" t="s">
        <v>43</v>
      </c>
      <c r="AA8" s="19"/>
      <c r="AB8" s="19"/>
      <c r="AC8" s="19"/>
      <c r="AD8" s="19"/>
      <c r="AE8" s="19"/>
      <c r="AF8" s="19"/>
    </row>
    <row r="9" spans="1:35" ht="27.75" customHeight="1" x14ac:dyDescent="0.2">
      <c r="B9" s="20" t="b">
        <v>1</v>
      </c>
      <c r="C9" s="20" t="s">
        <v>47</v>
      </c>
      <c r="D9" s="20" t="s">
        <v>48</v>
      </c>
      <c r="E9" s="20" t="s">
        <v>49</v>
      </c>
      <c r="F9" s="21" t="s">
        <v>50</v>
      </c>
      <c r="G9" s="22" t="s">
        <v>51</v>
      </c>
      <c r="H9" s="23"/>
      <c r="I9" s="22" t="s">
        <v>51</v>
      </c>
      <c r="J9" s="23"/>
      <c r="K9" s="22" t="s">
        <v>51</v>
      </c>
      <c r="L9" s="23"/>
      <c r="M9" s="22"/>
      <c r="N9" s="22"/>
      <c r="O9" s="23"/>
      <c r="P9" s="22"/>
      <c r="Q9" s="23"/>
      <c r="R9" s="22"/>
      <c r="S9" s="23"/>
      <c r="T9" s="22"/>
      <c r="U9" s="23"/>
      <c r="V9" s="22"/>
      <c r="W9" s="23"/>
      <c r="X9" s="24" t="s">
        <v>52</v>
      </c>
      <c r="Y9" s="22" t="s">
        <v>51</v>
      </c>
      <c r="Z9" s="11">
        <v>1</v>
      </c>
    </row>
    <row r="10" spans="1:35" ht="27.75" customHeight="1" x14ac:dyDescent="0.2">
      <c r="B10" s="20" t="b">
        <v>1</v>
      </c>
      <c r="C10" s="20" t="s">
        <v>53</v>
      </c>
      <c r="D10" s="20" t="s">
        <v>54</v>
      </c>
      <c r="E10" s="20" t="s">
        <v>55</v>
      </c>
      <c r="F10" s="21" t="s">
        <v>50</v>
      </c>
      <c r="G10" s="25" t="s">
        <v>51</v>
      </c>
      <c r="H10" s="26"/>
      <c r="I10" s="25" t="s">
        <v>51</v>
      </c>
      <c r="J10" s="26"/>
      <c r="K10" s="25" t="s">
        <v>56</v>
      </c>
      <c r="L10" s="26"/>
      <c r="M10" s="25"/>
      <c r="N10" s="25"/>
      <c r="O10" s="26"/>
      <c r="P10" s="25"/>
      <c r="Q10" s="26"/>
      <c r="R10" s="25"/>
      <c r="S10" s="26"/>
      <c r="T10" s="25"/>
      <c r="U10" s="26"/>
      <c r="V10" s="25"/>
      <c r="W10" s="26"/>
      <c r="X10" s="24" t="s">
        <v>57</v>
      </c>
      <c r="Y10" s="25" t="s">
        <v>56</v>
      </c>
      <c r="Z10" s="11"/>
    </row>
    <row r="11" spans="1:35" ht="27.75" customHeight="1" x14ac:dyDescent="0.2">
      <c r="B11" s="20" t="b">
        <v>1</v>
      </c>
      <c r="C11" s="20" t="s">
        <v>58</v>
      </c>
      <c r="D11" s="20" t="s">
        <v>59</v>
      </c>
      <c r="E11" s="20" t="s">
        <v>60</v>
      </c>
      <c r="F11" s="21" t="s">
        <v>50</v>
      </c>
      <c r="G11" s="22" t="s">
        <v>56</v>
      </c>
      <c r="H11" s="23" t="s">
        <v>61</v>
      </c>
      <c r="I11" s="22" t="s">
        <v>51</v>
      </c>
      <c r="J11" s="23"/>
      <c r="K11" s="22" t="s">
        <v>51</v>
      </c>
      <c r="L11" s="23"/>
      <c r="M11" s="22"/>
      <c r="N11" s="22" t="s">
        <v>51</v>
      </c>
      <c r="O11" s="23" t="s">
        <v>62</v>
      </c>
      <c r="P11" s="22"/>
      <c r="Q11" s="23"/>
      <c r="R11" s="22"/>
      <c r="S11" s="23"/>
      <c r="T11" s="22"/>
      <c r="U11" s="23"/>
      <c r="V11" s="22"/>
      <c r="W11" s="23"/>
      <c r="X11" s="24" t="s">
        <v>63</v>
      </c>
      <c r="Y11" s="22" t="s">
        <v>64</v>
      </c>
      <c r="Z11" s="11"/>
    </row>
    <row r="12" spans="1:35" ht="27.75" customHeight="1" x14ac:dyDescent="0.2">
      <c r="B12" s="20" t="b">
        <v>1</v>
      </c>
      <c r="C12" s="20" t="s">
        <v>65</v>
      </c>
      <c r="D12" s="20" t="s">
        <v>66</v>
      </c>
      <c r="E12" s="20" t="s">
        <v>67</v>
      </c>
      <c r="F12" s="21" t="s">
        <v>50</v>
      </c>
      <c r="G12" s="25" t="s">
        <v>56</v>
      </c>
      <c r="H12" s="26"/>
      <c r="I12" s="25" t="s">
        <v>51</v>
      </c>
      <c r="J12" s="26"/>
      <c r="K12" s="25" t="s">
        <v>51</v>
      </c>
      <c r="L12" s="26" t="s">
        <v>68</v>
      </c>
      <c r="M12" s="25"/>
      <c r="N12" s="25" t="s">
        <v>51</v>
      </c>
      <c r="O12" s="23"/>
      <c r="P12" s="25"/>
      <c r="Q12" s="26"/>
      <c r="R12" s="25"/>
      <c r="S12" s="26"/>
      <c r="T12" s="25"/>
      <c r="U12" s="26"/>
      <c r="V12" s="25"/>
      <c r="W12" s="26"/>
      <c r="X12" s="24" t="s">
        <v>69</v>
      </c>
      <c r="Y12" s="25" t="s">
        <v>51</v>
      </c>
      <c r="Z12" s="11">
        <v>1</v>
      </c>
    </row>
    <row r="13" spans="1:35" ht="28" x14ac:dyDescent="0.2">
      <c r="B13" s="20" t="b">
        <v>0</v>
      </c>
      <c r="C13" s="20" t="s">
        <v>70</v>
      </c>
      <c r="D13" s="20" t="s">
        <v>71</v>
      </c>
      <c r="E13" s="20" t="s">
        <v>72</v>
      </c>
      <c r="F13" s="21" t="s">
        <v>50</v>
      </c>
      <c r="G13" s="22" t="s">
        <v>51</v>
      </c>
      <c r="H13" s="23" t="s">
        <v>73</v>
      </c>
      <c r="I13" s="22" t="s">
        <v>56</v>
      </c>
      <c r="J13" s="23"/>
      <c r="K13" s="22" t="s">
        <v>56</v>
      </c>
      <c r="L13" s="23"/>
      <c r="M13" s="22"/>
      <c r="N13" s="22"/>
      <c r="O13" s="23" t="s">
        <v>74</v>
      </c>
      <c r="P13" s="22"/>
      <c r="Q13" s="23"/>
      <c r="R13" s="22"/>
      <c r="S13" s="23"/>
      <c r="T13" s="22"/>
      <c r="U13" s="23"/>
      <c r="V13" s="22"/>
      <c r="W13" s="23" t="s">
        <v>61</v>
      </c>
      <c r="X13" s="24" t="s">
        <v>75</v>
      </c>
      <c r="Y13" s="22" t="s">
        <v>51</v>
      </c>
      <c r="Z13" s="11">
        <v>1</v>
      </c>
    </row>
    <row r="14" spans="1:35" ht="31.5" customHeight="1" x14ac:dyDescent="0.2">
      <c r="B14" s="20" t="b">
        <v>0</v>
      </c>
      <c r="C14" s="20" t="s">
        <v>76</v>
      </c>
      <c r="D14" s="20" t="s">
        <v>77</v>
      </c>
      <c r="E14" s="20" t="s">
        <v>78</v>
      </c>
      <c r="F14" s="21" t="s">
        <v>50</v>
      </c>
      <c r="G14" s="22" t="s">
        <v>56</v>
      </c>
      <c r="H14" s="23" t="s">
        <v>79</v>
      </c>
      <c r="I14" s="22" t="s">
        <v>56</v>
      </c>
      <c r="J14" s="23"/>
      <c r="K14" s="22" t="s">
        <v>56</v>
      </c>
      <c r="L14" s="23"/>
      <c r="M14" s="22"/>
      <c r="N14" s="22"/>
      <c r="O14" s="23" t="s">
        <v>74</v>
      </c>
      <c r="P14" s="22"/>
      <c r="Q14" s="23"/>
      <c r="R14" s="22"/>
      <c r="S14" s="23"/>
      <c r="T14" s="22"/>
      <c r="U14" s="23"/>
      <c r="V14" s="22" t="s">
        <v>51</v>
      </c>
      <c r="W14" s="23" t="s">
        <v>80</v>
      </c>
      <c r="X14" s="24" t="s">
        <v>61</v>
      </c>
      <c r="Y14" s="22" t="s">
        <v>56</v>
      </c>
      <c r="Z14" s="11"/>
    </row>
    <row r="15" spans="1:35" ht="42" customHeight="1" x14ac:dyDescent="0.2">
      <c r="B15" s="20" t="b">
        <v>0</v>
      </c>
      <c r="C15" s="20" t="s">
        <v>81</v>
      </c>
      <c r="D15" s="20" t="s">
        <v>82</v>
      </c>
      <c r="E15" s="20" t="s">
        <v>83</v>
      </c>
      <c r="F15" s="21" t="s">
        <v>50</v>
      </c>
      <c r="G15" s="25" t="s">
        <v>51</v>
      </c>
      <c r="H15" s="26" t="s">
        <v>84</v>
      </c>
      <c r="I15" s="25" t="s">
        <v>51</v>
      </c>
      <c r="J15" s="26"/>
      <c r="K15" s="25" t="s">
        <v>51</v>
      </c>
      <c r="L15" s="26"/>
      <c r="M15" s="25"/>
      <c r="N15" s="25" t="s">
        <v>51</v>
      </c>
      <c r="O15" s="23" t="s">
        <v>74</v>
      </c>
      <c r="P15" s="25"/>
      <c r="Q15" s="26"/>
      <c r="R15" s="25"/>
      <c r="S15" s="26"/>
      <c r="T15" s="25"/>
      <c r="U15" s="26"/>
      <c r="V15" s="25"/>
      <c r="W15" s="26" t="s">
        <v>61</v>
      </c>
      <c r="X15" s="24" t="s">
        <v>61</v>
      </c>
      <c r="Y15" s="25" t="s">
        <v>64</v>
      </c>
      <c r="Z15" s="11"/>
    </row>
    <row r="16" spans="1:35" ht="42" customHeight="1" x14ac:dyDescent="0.2">
      <c r="B16" s="20" t="b">
        <v>0</v>
      </c>
      <c r="C16" s="20" t="s">
        <v>85</v>
      </c>
      <c r="D16" s="20" t="s">
        <v>86</v>
      </c>
      <c r="E16" s="20" t="s">
        <v>87</v>
      </c>
      <c r="F16" s="21" t="s">
        <v>50</v>
      </c>
      <c r="G16" s="22" t="s">
        <v>56</v>
      </c>
      <c r="H16" s="23" t="s">
        <v>88</v>
      </c>
      <c r="I16" s="22" t="s">
        <v>56</v>
      </c>
      <c r="J16" s="23"/>
      <c r="K16" s="22" t="s">
        <v>56</v>
      </c>
      <c r="L16" s="23"/>
      <c r="M16" s="22"/>
      <c r="N16" s="22" t="s">
        <v>56</v>
      </c>
      <c r="O16" s="23" t="s">
        <v>89</v>
      </c>
      <c r="P16" s="22"/>
      <c r="Q16" s="23"/>
      <c r="R16" s="22"/>
      <c r="S16" s="23"/>
      <c r="T16" s="22"/>
      <c r="U16" s="23"/>
      <c r="V16" s="22"/>
      <c r="W16" s="23" t="s">
        <v>90</v>
      </c>
      <c r="X16" s="24" t="s">
        <v>91</v>
      </c>
      <c r="Y16" s="22" t="s">
        <v>56</v>
      </c>
      <c r="Z16" s="11"/>
    </row>
    <row r="17" spans="2:26" ht="48" customHeight="1" x14ac:dyDescent="0.2">
      <c r="B17" s="20" t="b">
        <v>0</v>
      </c>
      <c r="C17" s="20" t="s">
        <v>92</v>
      </c>
      <c r="D17" s="20" t="s">
        <v>93</v>
      </c>
      <c r="E17" s="20" t="s">
        <v>94</v>
      </c>
      <c r="F17" s="21" t="s">
        <v>50</v>
      </c>
      <c r="G17" s="25" t="s">
        <v>56</v>
      </c>
      <c r="H17" s="26" t="s">
        <v>95</v>
      </c>
      <c r="I17" s="25" t="s">
        <v>56</v>
      </c>
      <c r="J17" s="26"/>
      <c r="K17" s="25" t="s">
        <v>56</v>
      </c>
      <c r="L17" s="26" t="s">
        <v>96</v>
      </c>
      <c r="M17" s="25" t="s">
        <v>56</v>
      </c>
      <c r="N17" s="25" t="s">
        <v>51</v>
      </c>
      <c r="O17" s="26" t="s">
        <v>97</v>
      </c>
      <c r="P17" s="25"/>
      <c r="Q17" s="26"/>
      <c r="R17" s="25"/>
      <c r="S17" s="26"/>
      <c r="T17" s="25"/>
      <c r="U17" s="26"/>
      <c r="V17" s="25"/>
      <c r="W17" s="26" t="s">
        <v>61</v>
      </c>
      <c r="X17" s="24" t="s">
        <v>98</v>
      </c>
      <c r="Y17" s="25" t="s">
        <v>51</v>
      </c>
      <c r="Z17" s="11">
        <v>1</v>
      </c>
    </row>
    <row r="18" spans="2:26" ht="70" x14ac:dyDescent="0.2">
      <c r="B18" s="20" t="b">
        <v>0</v>
      </c>
      <c r="C18" s="20" t="s">
        <v>99</v>
      </c>
      <c r="D18" s="20" t="s">
        <v>100</v>
      </c>
      <c r="E18" s="20" t="s">
        <v>101</v>
      </c>
      <c r="F18" s="21" t="s">
        <v>50</v>
      </c>
      <c r="G18" s="22" t="s">
        <v>51</v>
      </c>
      <c r="H18" s="23" t="s">
        <v>102</v>
      </c>
      <c r="I18" s="22" t="s">
        <v>51</v>
      </c>
      <c r="J18" s="23"/>
      <c r="K18" s="22" t="s">
        <v>51</v>
      </c>
      <c r="L18" s="23" t="s">
        <v>103</v>
      </c>
      <c r="M18" s="22" t="s">
        <v>51</v>
      </c>
      <c r="N18" s="22" t="s">
        <v>51</v>
      </c>
      <c r="O18" s="23" t="s">
        <v>104</v>
      </c>
      <c r="P18" s="22"/>
      <c r="Q18" s="23"/>
      <c r="R18" s="22"/>
      <c r="S18" s="23"/>
      <c r="T18" s="22"/>
      <c r="U18" s="23"/>
      <c r="V18" s="22" t="s">
        <v>51</v>
      </c>
      <c r="W18" s="23" t="s">
        <v>105</v>
      </c>
      <c r="X18" s="24" t="s">
        <v>61</v>
      </c>
      <c r="Y18" s="22" t="s">
        <v>51</v>
      </c>
      <c r="Z18" s="11">
        <f>2</f>
        <v>2</v>
      </c>
    </row>
    <row r="19" spans="2:26" ht="42" customHeight="1" x14ac:dyDescent="0.2">
      <c r="B19" s="20" t="b">
        <v>0</v>
      </c>
      <c r="C19" s="20" t="s">
        <v>106</v>
      </c>
      <c r="D19" s="20" t="s">
        <v>107</v>
      </c>
      <c r="E19" s="20" t="s">
        <v>108</v>
      </c>
      <c r="F19" s="21" t="s">
        <v>50</v>
      </c>
      <c r="G19" s="25" t="s">
        <v>56</v>
      </c>
      <c r="H19" s="26" t="s">
        <v>109</v>
      </c>
      <c r="I19" s="25" t="s">
        <v>56</v>
      </c>
      <c r="J19" s="26"/>
      <c r="K19" s="25" t="s">
        <v>56</v>
      </c>
      <c r="L19" s="26" t="s">
        <v>110</v>
      </c>
      <c r="M19" s="25" t="s">
        <v>51</v>
      </c>
      <c r="N19" s="25" t="s">
        <v>56</v>
      </c>
      <c r="O19" s="26" t="s">
        <v>111</v>
      </c>
      <c r="P19" s="25"/>
      <c r="Q19" s="26"/>
      <c r="R19" s="25"/>
      <c r="S19" s="26"/>
      <c r="T19" s="25"/>
      <c r="U19" s="26"/>
      <c r="V19" s="25"/>
      <c r="W19" s="26" t="s">
        <v>61</v>
      </c>
      <c r="X19" s="24" t="s">
        <v>61</v>
      </c>
      <c r="Y19" s="25"/>
      <c r="Z19" s="11">
        <v>1</v>
      </c>
    </row>
    <row r="20" spans="2:26" ht="129" customHeight="1" x14ac:dyDescent="0.2">
      <c r="B20" s="20" t="b">
        <v>0</v>
      </c>
      <c r="C20" s="20" t="s">
        <v>112</v>
      </c>
      <c r="D20" s="20" t="s">
        <v>113</v>
      </c>
      <c r="E20" s="20" t="s">
        <v>114</v>
      </c>
      <c r="F20" s="21" t="s">
        <v>50</v>
      </c>
      <c r="G20" s="22" t="s">
        <v>56</v>
      </c>
      <c r="H20" s="23" t="s">
        <v>115</v>
      </c>
      <c r="I20" s="22" t="s">
        <v>56</v>
      </c>
      <c r="J20" s="23"/>
      <c r="K20" s="22" t="s">
        <v>56</v>
      </c>
      <c r="L20" s="23" t="s">
        <v>116</v>
      </c>
      <c r="M20" s="22"/>
      <c r="N20" s="22" t="s">
        <v>51</v>
      </c>
      <c r="O20" s="23" t="s">
        <v>117</v>
      </c>
      <c r="P20" s="22"/>
      <c r="Q20" s="23"/>
      <c r="R20" s="22"/>
      <c r="S20" s="23"/>
      <c r="T20" s="22"/>
      <c r="U20" s="23"/>
      <c r="V20" s="22" t="s">
        <v>51</v>
      </c>
      <c r="W20" s="23" t="s">
        <v>118</v>
      </c>
      <c r="X20" s="24" t="s">
        <v>119</v>
      </c>
      <c r="Y20" s="22" t="s">
        <v>51</v>
      </c>
      <c r="Z20" s="11">
        <v>2</v>
      </c>
    </row>
    <row r="21" spans="2:26" ht="69.75" customHeight="1" x14ac:dyDescent="0.2">
      <c r="B21" s="20" t="b">
        <v>0</v>
      </c>
      <c r="C21" s="20" t="s">
        <v>120</v>
      </c>
      <c r="D21" s="20" t="s">
        <v>121</v>
      </c>
      <c r="E21" s="20" t="s">
        <v>122</v>
      </c>
      <c r="F21" s="21" t="s">
        <v>50</v>
      </c>
      <c r="G21" s="25" t="s">
        <v>56</v>
      </c>
      <c r="H21" s="26" t="s">
        <v>123</v>
      </c>
      <c r="I21" s="25" t="s">
        <v>56</v>
      </c>
      <c r="J21" s="26"/>
      <c r="K21" s="25" t="s">
        <v>56</v>
      </c>
      <c r="L21" s="26" t="s">
        <v>124</v>
      </c>
      <c r="M21" s="25" t="s">
        <v>64</v>
      </c>
      <c r="N21" s="25"/>
      <c r="O21" s="26" t="s">
        <v>74</v>
      </c>
      <c r="P21" s="25"/>
      <c r="Q21" s="26"/>
      <c r="R21" s="25"/>
      <c r="S21" s="26"/>
      <c r="T21" s="25"/>
      <c r="U21" s="26"/>
      <c r="V21" s="25" t="s">
        <v>51</v>
      </c>
      <c r="W21" s="26" t="s">
        <v>125</v>
      </c>
      <c r="X21" s="24" t="s">
        <v>126</v>
      </c>
      <c r="Y21" s="25" t="s">
        <v>51</v>
      </c>
      <c r="Z21" s="11">
        <v>1</v>
      </c>
    </row>
    <row r="22" spans="2:26" ht="69.75" customHeight="1" x14ac:dyDescent="0.2">
      <c r="B22" s="20" t="b">
        <v>0</v>
      </c>
      <c r="C22" s="20" t="s">
        <v>127</v>
      </c>
      <c r="D22" s="20" t="s">
        <v>128</v>
      </c>
      <c r="E22" s="20" t="s">
        <v>129</v>
      </c>
      <c r="F22" s="21" t="s">
        <v>50</v>
      </c>
      <c r="G22" s="22" t="s">
        <v>51</v>
      </c>
      <c r="H22" s="23" t="s">
        <v>130</v>
      </c>
      <c r="I22" s="22" t="s">
        <v>56</v>
      </c>
      <c r="J22" s="23"/>
      <c r="K22" s="22" t="s">
        <v>56</v>
      </c>
      <c r="L22" s="23" t="s">
        <v>131</v>
      </c>
      <c r="M22" s="22" t="s">
        <v>51</v>
      </c>
      <c r="N22" s="22" t="s">
        <v>51</v>
      </c>
      <c r="O22" s="23" t="s">
        <v>132</v>
      </c>
      <c r="P22" s="22"/>
      <c r="Q22" s="23"/>
      <c r="R22" s="22"/>
      <c r="S22" s="23"/>
      <c r="T22" s="22"/>
      <c r="U22" s="23"/>
      <c r="V22" s="22" t="s">
        <v>51</v>
      </c>
      <c r="W22" s="23" t="s">
        <v>133</v>
      </c>
      <c r="X22" s="24" t="s">
        <v>134</v>
      </c>
      <c r="Y22" s="22" t="s">
        <v>51</v>
      </c>
      <c r="Z22" s="11">
        <v>1</v>
      </c>
    </row>
    <row r="23" spans="2:26" ht="99.75" customHeight="1" x14ac:dyDescent="0.2">
      <c r="B23" s="20" t="b">
        <v>0</v>
      </c>
      <c r="C23" s="20" t="s">
        <v>135</v>
      </c>
      <c r="D23" s="20" t="s">
        <v>136</v>
      </c>
      <c r="E23" s="20" t="s">
        <v>137</v>
      </c>
      <c r="F23" s="21" t="s">
        <v>50</v>
      </c>
      <c r="G23" s="25" t="s">
        <v>51</v>
      </c>
      <c r="H23" s="26" t="s">
        <v>138</v>
      </c>
      <c r="I23" s="25" t="s">
        <v>51</v>
      </c>
      <c r="J23" s="26"/>
      <c r="K23" s="25" t="s">
        <v>56</v>
      </c>
      <c r="L23" s="26" t="s">
        <v>139</v>
      </c>
      <c r="M23" s="25"/>
      <c r="N23" s="25" t="s">
        <v>56</v>
      </c>
      <c r="O23" s="26" t="s">
        <v>140</v>
      </c>
      <c r="P23" s="25"/>
      <c r="Q23" s="26"/>
      <c r="R23" s="25"/>
      <c r="S23" s="26"/>
      <c r="T23" s="25"/>
      <c r="U23" s="26"/>
      <c r="V23" s="25" t="s">
        <v>51</v>
      </c>
      <c r="W23" s="26" t="s">
        <v>141</v>
      </c>
      <c r="X23" s="24" t="s">
        <v>142</v>
      </c>
      <c r="Y23" s="25" t="s">
        <v>64</v>
      </c>
      <c r="Z23" s="11">
        <v>0</v>
      </c>
    </row>
    <row r="24" spans="2:26" ht="56" x14ac:dyDescent="0.2">
      <c r="B24" s="20" t="b">
        <v>0</v>
      </c>
      <c r="C24" s="20" t="s">
        <v>143</v>
      </c>
      <c r="D24" s="20" t="s">
        <v>144</v>
      </c>
      <c r="E24" s="20" t="s">
        <v>145</v>
      </c>
      <c r="F24" s="21" t="s">
        <v>50</v>
      </c>
      <c r="G24" s="22" t="s">
        <v>51</v>
      </c>
      <c r="H24" s="23" t="s">
        <v>146</v>
      </c>
      <c r="I24" s="22" t="s">
        <v>51</v>
      </c>
      <c r="J24" s="23"/>
      <c r="K24" s="22" t="s">
        <v>51</v>
      </c>
      <c r="L24" s="23" t="s">
        <v>147</v>
      </c>
      <c r="M24" s="22" t="s">
        <v>56</v>
      </c>
      <c r="N24" s="22" t="s">
        <v>51</v>
      </c>
      <c r="O24" s="23" t="s">
        <v>148</v>
      </c>
      <c r="P24" s="22"/>
      <c r="Q24" s="23"/>
      <c r="R24" s="22"/>
      <c r="S24" s="23"/>
      <c r="T24" s="22"/>
      <c r="U24" s="23"/>
      <c r="V24" s="22"/>
      <c r="W24" s="23"/>
      <c r="X24" s="24" t="s">
        <v>149</v>
      </c>
      <c r="Y24" s="22" t="s">
        <v>56</v>
      </c>
      <c r="Z24" s="11">
        <v>0</v>
      </c>
    </row>
    <row r="25" spans="2:26" ht="63" customHeight="1" x14ac:dyDescent="0.2">
      <c r="B25" s="20" t="b">
        <v>0</v>
      </c>
      <c r="C25" s="20" t="s">
        <v>150</v>
      </c>
      <c r="D25" s="20" t="s">
        <v>151</v>
      </c>
      <c r="E25" s="20" t="s">
        <v>152</v>
      </c>
      <c r="F25" s="21" t="s">
        <v>50</v>
      </c>
      <c r="G25" s="25" t="s">
        <v>56</v>
      </c>
      <c r="H25" s="26" t="s">
        <v>153</v>
      </c>
      <c r="I25" s="25" t="s">
        <v>56</v>
      </c>
      <c r="J25" s="26"/>
      <c r="K25" s="25" t="s">
        <v>56</v>
      </c>
      <c r="L25" s="26"/>
      <c r="M25" s="25"/>
      <c r="N25" s="25"/>
      <c r="O25" s="26"/>
      <c r="P25" s="25"/>
      <c r="Q25" s="26"/>
      <c r="R25" s="25"/>
      <c r="S25" s="26"/>
      <c r="T25" s="25"/>
      <c r="U25" s="26"/>
      <c r="V25" s="25"/>
      <c r="W25" s="26"/>
      <c r="X25" s="24" t="s">
        <v>61</v>
      </c>
      <c r="Y25" s="25" t="s">
        <v>56</v>
      </c>
      <c r="Z25" s="11">
        <v>0</v>
      </c>
    </row>
    <row r="26" spans="2:26" ht="42" hidden="1" customHeight="1" x14ac:dyDescent="0.2">
      <c r="B26" s="20" t="b">
        <v>0</v>
      </c>
      <c r="C26" s="20" t="s">
        <v>154</v>
      </c>
      <c r="D26" s="20"/>
      <c r="E26" s="20" t="s">
        <v>155</v>
      </c>
      <c r="F26" s="27" t="s">
        <v>156</v>
      </c>
      <c r="G26" s="22"/>
      <c r="H26" s="23" t="s">
        <v>157</v>
      </c>
      <c r="I26" s="22"/>
      <c r="J26" s="23"/>
      <c r="K26" s="22"/>
      <c r="L26" s="23"/>
      <c r="M26" s="22"/>
      <c r="N26" s="22"/>
      <c r="O26" s="23"/>
      <c r="P26" s="22"/>
      <c r="Q26" s="23"/>
      <c r="R26" s="22"/>
      <c r="S26" s="23"/>
      <c r="T26" s="22"/>
      <c r="U26" s="23"/>
      <c r="V26" s="22"/>
      <c r="W26" s="23"/>
      <c r="X26" s="24"/>
      <c r="Y26" s="22"/>
      <c r="Z26" s="11"/>
    </row>
    <row r="27" spans="2:26" ht="27.75" customHeight="1" x14ac:dyDescent="0.2">
      <c r="B27" s="20" t="b">
        <v>0</v>
      </c>
      <c r="C27" s="20" t="s">
        <v>24</v>
      </c>
      <c r="D27" s="20" t="s">
        <v>158</v>
      </c>
      <c r="E27" s="20" t="s">
        <v>159</v>
      </c>
      <c r="F27" s="21" t="s">
        <v>50</v>
      </c>
      <c r="G27" s="25" t="s">
        <v>56</v>
      </c>
      <c r="H27" s="26"/>
      <c r="I27" s="25" t="s">
        <v>51</v>
      </c>
      <c r="J27" s="26"/>
      <c r="K27" s="25" t="s">
        <v>51</v>
      </c>
      <c r="L27" s="26"/>
      <c r="M27" s="25"/>
      <c r="N27" s="25" t="s">
        <v>51</v>
      </c>
      <c r="O27" s="26" t="s">
        <v>160</v>
      </c>
      <c r="P27" s="25"/>
      <c r="Q27" s="26"/>
      <c r="R27" s="25"/>
      <c r="S27" s="26"/>
      <c r="T27" s="25"/>
      <c r="U27" s="26"/>
      <c r="V27" s="25" t="s">
        <v>51</v>
      </c>
      <c r="W27" s="26" t="s">
        <v>161</v>
      </c>
      <c r="X27" s="24" t="s">
        <v>162</v>
      </c>
      <c r="Y27" s="25" t="s">
        <v>51</v>
      </c>
      <c r="Z27" s="11">
        <v>4</v>
      </c>
    </row>
    <row r="28" spans="2:26" ht="42" x14ac:dyDescent="0.2">
      <c r="B28" s="20" t="b">
        <v>0</v>
      </c>
      <c r="C28" s="20" t="s">
        <v>163</v>
      </c>
      <c r="D28" s="20" t="s">
        <v>164</v>
      </c>
      <c r="E28" s="20" t="s">
        <v>165</v>
      </c>
      <c r="F28" s="21" t="s">
        <v>50</v>
      </c>
      <c r="G28" s="22" t="s">
        <v>56</v>
      </c>
      <c r="H28" s="23"/>
      <c r="I28" s="22" t="s">
        <v>56</v>
      </c>
      <c r="J28" s="23"/>
      <c r="K28" s="22" t="s">
        <v>51</v>
      </c>
      <c r="L28" s="23" t="s">
        <v>166</v>
      </c>
      <c r="M28" s="22"/>
      <c r="N28" s="22" t="s">
        <v>51</v>
      </c>
      <c r="O28" s="23"/>
      <c r="P28" s="22"/>
      <c r="Q28" s="23"/>
      <c r="R28" s="22"/>
      <c r="S28" s="23"/>
      <c r="T28" s="22"/>
      <c r="U28" s="23"/>
      <c r="V28" s="22"/>
      <c r="W28" s="23"/>
      <c r="X28" s="24" t="s">
        <v>61</v>
      </c>
      <c r="Y28" s="22" t="s">
        <v>51</v>
      </c>
      <c r="Z28" s="11">
        <v>1</v>
      </c>
    </row>
    <row r="29" spans="2:26" ht="27.75" customHeight="1" x14ac:dyDescent="0.2">
      <c r="B29" s="20" t="b">
        <v>0</v>
      </c>
      <c r="C29" s="20" t="s">
        <v>167</v>
      </c>
      <c r="D29" s="20" t="s">
        <v>168</v>
      </c>
      <c r="E29" s="20" t="s">
        <v>169</v>
      </c>
      <c r="F29" s="21" t="s">
        <v>50</v>
      </c>
      <c r="G29" s="25" t="s">
        <v>51</v>
      </c>
      <c r="H29" s="26"/>
      <c r="I29" s="25" t="s">
        <v>56</v>
      </c>
      <c r="J29" s="26"/>
      <c r="K29" s="25" t="s">
        <v>56</v>
      </c>
      <c r="L29" s="26"/>
      <c r="M29" s="25"/>
      <c r="N29" s="25" t="s">
        <v>51</v>
      </c>
      <c r="O29" s="26"/>
      <c r="P29" s="25"/>
      <c r="Q29" s="26"/>
      <c r="R29" s="25"/>
      <c r="S29" s="26"/>
      <c r="T29" s="25"/>
      <c r="U29" s="26"/>
      <c r="V29" s="25"/>
      <c r="W29" s="26"/>
      <c r="X29" s="24" t="s">
        <v>61</v>
      </c>
      <c r="Y29" s="25" t="s">
        <v>51</v>
      </c>
      <c r="Z29" s="11">
        <v>1</v>
      </c>
    </row>
    <row r="30" spans="2:26" ht="42" x14ac:dyDescent="0.2">
      <c r="B30" s="20" t="b">
        <v>0</v>
      </c>
      <c r="C30" s="20" t="s">
        <v>170</v>
      </c>
      <c r="D30" s="20" t="s">
        <v>171</v>
      </c>
      <c r="E30" s="20" t="s">
        <v>172</v>
      </c>
      <c r="F30" s="28" t="s">
        <v>173</v>
      </c>
      <c r="G30" s="22" t="s">
        <v>56</v>
      </c>
      <c r="H30" s="29" t="s">
        <v>174</v>
      </c>
      <c r="I30" s="22" t="s">
        <v>56</v>
      </c>
      <c r="J30" s="23"/>
      <c r="K30" s="22" t="s">
        <v>56</v>
      </c>
      <c r="L30" s="23"/>
      <c r="M30" s="22"/>
      <c r="N30" s="22"/>
      <c r="O30" s="23"/>
      <c r="P30" s="22"/>
      <c r="Q30" s="23"/>
      <c r="R30" s="22"/>
      <c r="S30" s="23"/>
      <c r="T30" s="22"/>
      <c r="U30" s="23"/>
      <c r="V30" s="22"/>
      <c r="W30" s="23"/>
      <c r="X30" s="24" t="s">
        <v>61</v>
      </c>
      <c r="Y30" s="22" t="s">
        <v>56</v>
      </c>
      <c r="Z30" s="11">
        <v>0</v>
      </c>
    </row>
    <row r="31" spans="2:26" ht="27.75" customHeight="1" x14ac:dyDescent="0.2">
      <c r="B31" s="20" t="b">
        <v>0</v>
      </c>
      <c r="C31" s="20" t="s">
        <v>175</v>
      </c>
      <c r="D31" s="20" t="s">
        <v>176</v>
      </c>
      <c r="E31" s="20" t="s">
        <v>177</v>
      </c>
      <c r="F31" s="21" t="s">
        <v>50</v>
      </c>
      <c r="G31" s="22" t="s">
        <v>51</v>
      </c>
      <c r="H31" s="23" t="s">
        <v>178</v>
      </c>
      <c r="I31" s="22" t="s">
        <v>56</v>
      </c>
      <c r="J31" s="23"/>
      <c r="K31" s="22" t="s">
        <v>56</v>
      </c>
      <c r="L31" s="23"/>
      <c r="M31" s="22"/>
      <c r="N31" s="22"/>
      <c r="O31" s="26" t="s">
        <v>74</v>
      </c>
      <c r="P31" s="22"/>
      <c r="Q31" s="23"/>
      <c r="R31" s="22"/>
      <c r="S31" s="23"/>
      <c r="T31" s="22"/>
      <c r="U31" s="23"/>
      <c r="V31" s="22" t="s">
        <v>51</v>
      </c>
      <c r="W31" s="23" t="s">
        <v>179</v>
      </c>
      <c r="X31" s="24" t="s">
        <v>180</v>
      </c>
      <c r="Y31" s="22" t="s">
        <v>51</v>
      </c>
      <c r="Z31" s="11"/>
    </row>
    <row r="32" spans="2:26" ht="30" x14ac:dyDescent="0.2">
      <c r="B32" s="20" t="b">
        <v>0</v>
      </c>
      <c r="C32" s="20" t="s">
        <v>181</v>
      </c>
      <c r="D32" s="20" t="s">
        <v>182</v>
      </c>
      <c r="E32" s="20" t="s">
        <v>183</v>
      </c>
      <c r="F32" s="21" t="s">
        <v>50</v>
      </c>
      <c r="G32" s="22" t="s">
        <v>51</v>
      </c>
      <c r="H32" s="23" t="s">
        <v>184</v>
      </c>
      <c r="I32" s="22" t="s">
        <v>51</v>
      </c>
      <c r="J32" s="23"/>
      <c r="K32" s="22" t="s">
        <v>51</v>
      </c>
      <c r="L32" s="23"/>
      <c r="M32" s="22"/>
      <c r="N32" s="22" t="s">
        <v>64</v>
      </c>
      <c r="O32" s="23"/>
      <c r="P32" s="22"/>
      <c r="Q32" s="23"/>
      <c r="R32" s="22"/>
      <c r="S32" s="23"/>
      <c r="T32" s="22"/>
      <c r="U32" s="23"/>
      <c r="V32" s="22"/>
      <c r="W32" s="23"/>
      <c r="X32" s="24" t="s">
        <v>185</v>
      </c>
      <c r="Y32" s="22" t="s">
        <v>51</v>
      </c>
      <c r="Z32" s="11">
        <v>6</v>
      </c>
    </row>
    <row r="33" spans="1:35" x14ac:dyDescent="0.2">
      <c r="B33" s="20" t="b">
        <v>0</v>
      </c>
      <c r="C33" s="20" t="s">
        <v>186</v>
      </c>
      <c r="D33" s="20" t="s">
        <v>187</v>
      </c>
      <c r="E33" s="20" t="s">
        <v>188</v>
      </c>
      <c r="F33" s="21" t="s">
        <v>50</v>
      </c>
      <c r="G33" s="11"/>
      <c r="H33" s="11"/>
      <c r="I33" s="11"/>
      <c r="J33" s="11"/>
      <c r="K33" s="11"/>
      <c r="L33" s="11"/>
      <c r="M33" s="11"/>
      <c r="N33" s="11"/>
      <c r="O33" s="11"/>
      <c r="P33" s="11"/>
      <c r="Q33" s="11"/>
      <c r="R33" s="11"/>
      <c r="S33" s="11"/>
      <c r="T33" s="11"/>
      <c r="U33" s="11"/>
      <c r="V33" s="11"/>
      <c r="W33" s="11"/>
      <c r="X33" s="24" t="s">
        <v>189</v>
      </c>
      <c r="Y33" s="22" t="s">
        <v>51</v>
      </c>
      <c r="Z33" s="11">
        <v>1</v>
      </c>
    </row>
    <row r="34" spans="1:35" ht="15.75" customHeight="1" x14ac:dyDescent="0.2">
      <c r="B34" s="20" t="b">
        <v>0</v>
      </c>
      <c r="C34" s="20" t="s">
        <v>9</v>
      </c>
      <c r="D34" s="20" t="s">
        <v>11</v>
      </c>
      <c r="E34" s="20" t="s">
        <v>10</v>
      </c>
      <c r="F34" s="21" t="s">
        <v>50</v>
      </c>
      <c r="G34" s="11"/>
      <c r="H34" s="11"/>
      <c r="I34" s="11"/>
      <c r="J34" s="11"/>
      <c r="K34" s="11"/>
      <c r="L34" s="11"/>
      <c r="M34" s="11"/>
      <c r="N34" s="11"/>
      <c r="O34" s="11"/>
      <c r="P34" s="11"/>
      <c r="Q34" s="11"/>
      <c r="R34" s="11"/>
      <c r="S34" s="11"/>
      <c r="T34" s="11"/>
      <c r="U34" s="11"/>
      <c r="V34" s="11"/>
      <c r="W34" s="11"/>
      <c r="X34" s="24" t="s">
        <v>190</v>
      </c>
      <c r="Y34" s="22" t="s">
        <v>56</v>
      </c>
      <c r="Z34" s="11">
        <v>0</v>
      </c>
    </row>
    <row r="35" spans="1:35" ht="15.75" customHeight="1" x14ac:dyDescent="0.2">
      <c r="B35" s="20" t="b">
        <v>0</v>
      </c>
      <c r="C35" s="20" t="s">
        <v>12</v>
      </c>
      <c r="D35" s="20" t="s">
        <v>14</v>
      </c>
      <c r="E35" s="20" t="s">
        <v>13</v>
      </c>
      <c r="F35" s="21" t="s">
        <v>50</v>
      </c>
      <c r="G35" s="11"/>
      <c r="H35" s="11"/>
      <c r="I35" s="11"/>
      <c r="J35" s="11"/>
      <c r="K35" s="11"/>
      <c r="L35" s="11"/>
      <c r="M35" s="11"/>
      <c r="N35" s="11"/>
      <c r="O35" s="11"/>
      <c r="P35" s="11"/>
      <c r="Q35" s="11"/>
      <c r="R35" s="11"/>
      <c r="S35" s="11"/>
      <c r="T35" s="11"/>
      <c r="U35" s="11"/>
      <c r="V35" s="11"/>
      <c r="W35" s="11"/>
      <c r="X35" s="24" t="s">
        <v>191</v>
      </c>
      <c r="Y35" s="22" t="s">
        <v>51</v>
      </c>
      <c r="Z35" s="11">
        <v>4</v>
      </c>
    </row>
    <row r="36" spans="1:35" ht="15.75" customHeight="1" x14ac:dyDescent="0.2">
      <c r="B36" s="20" t="b">
        <v>0</v>
      </c>
      <c r="C36" s="20" t="s">
        <v>15</v>
      </c>
      <c r="D36" s="20" t="s">
        <v>17</v>
      </c>
      <c r="E36" s="20" t="s">
        <v>16</v>
      </c>
      <c r="F36" s="21" t="s">
        <v>50</v>
      </c>
      <c r="G36" s="11"/>
      <c r="H36" s="11"/>
      <c r="I36" s="11"/>
      <c r="J36" s="11"/>
      <c r="K36" s="11"/>
      <c r="L36" s="11"/>
      <c r="M36" s="11"/>
      <c r="N36" s="11"/>
      <c r="O36" s="11"/>
      <c r="P36" s="11"/>
      <c r="Q36" s="11"/>
      <c r="R36" s="11"/>
      <c r="S36" s="11"/>
      <c r="T36" s="11"/>
      <c r="U36" s="11"/>
      <c r="V36" s="11"/>
      <c r="W36" s="11"/>
      <c r="X36" s="24" t="s">
        <v>61</v>
      </c>
      <c r="Y36" s="22" t="s">
        <v>56</v>
      </c>
      <c r="Z36" s="11">
        <v>0</v>
      </c>
    </row>
    <row r="37" spans="1:35" ht="15.75" customHeight="1" x14ac:dyDescent="0.2">
      <c r="B37" s="20" t="b">
        <v>0</v>
      </c>
      <c r="C37" s="20" t="s">
        <v>20</v>
      </c>
      <c r="D37" s="20" t="s">
        <v>192</v>
      </c>
      <c r="E37" s="20" t="s">
        <v>21</v>
      </c>
      <c r="F37" s="21" t="s">
        <v>50</v>
      </c>
      <c r="G37" s="11"/>
      <c r="H37" s="11"/>
      <c r="I37" s="11"/>
      <c r="J37" s="11"/>
      <c r="K37" s="11"/>
      <c r="L37" s="11"/>
      <c r="M37" s="11"/>
      <c r="N37" s="11"/>
      <c r="O37" s="11"/>
      <c r="P37" s="11"/>
      <c r="Q37" s="11"/>
      <c r="R37" s="11"/>
      <c r="S37" s="11"/>
      <c r="T37" s="11"/>
      <c r="U37" s="11"/>
      <c r="V37" s="11"/>
      <c r="W37" s="11"/>
      <c r="X37" s="24" t="s">
        <v>193</v>
      </c>
      <c r="Y37" s="22" t="s">
        <v>56</v>
      </c>
      <c r="Z37" s="11">
        <v>0</v>
      </c>
    </row>
    <row r="38" spans="1:35" ht="15.75" customHeight="1" x14ac:dyDescent="0.2">
      <c r="B38" s="20" t="b">
        <v>0</v>
      </c>
      <c r="C38" s="20" t="s">
        <v>22</v>
      </c>
      <c r="D38" s="20" t="s">
        <v>194</v>
      </c>
      <c r="E38" s="20" t="s">
        <v>23</v>
      </c>
      <c r="F38" s="21" t="s">
        <v>50</v>
      </c>
      <c r="G38" s="11"/>
      <c r="H38" s="11"/>
      <c r="I38" s="11"/>
      <c r="J38" s="11"/>
      <c r="K38" s="11"/>
      <c r="L38" s="11"/>
      <c r="M38" s="11"/>
      <c r="N38" s="11"/>
      <c r="O38" s="11"/>
      <c r="P38" s="11"/>
      <c r="Q38" s="11"/>
      <c r="R38" s="11"/>
      <c r="S38" s="11"/>
      <c r="T38" s="11"/>
      <c r="U38" s="11"/>
      <c r="V38" s="11"/>
      <c r="W38" s="11"/>
      <c r="X38" s="24" t="s">
        <v>195</v>
      </c>
      <c r="Y38" s="22" t="s">
        <v>51</v>
      </c>
      <c r="Z38" s="11">
        <f>4</f>
        <v>4</v>
      </c>
    </row>
    <row r="39" spans="1:35" ht="15.75" customHeight="1" x14ac:dyDescent="0.2">
      <c r="B39" s="20" t="b">
        <v>0</v>
      </c>
      <c r="C39" s="20" t="s">
        <v>25</v>
      </c>
      <c r="D39" s="20" t="s">
        <v>196</v>
      </c>
      <c r="E39" s="20" t="s">
        <v>26</v>
      </c>
      <c r="F39" s="21" t="s">
        <v>50</v>
      </c>
      <c r="G39" s="11"/>
      <c r="H39" s="11"/>
      <c r="I39" s="11"/>
      <c r="J39" s="11"/>
      <c r="K39" s="11"/>
      <c r="L39" s="11"/>
      <c r="M39" s="11"/>
      <c r="N39" s="11"/>
      <c r="O39" s="11"/>
      <c r="P39" s="11"/>
      <c r="Q39" s="11"/>
      <c r="R39" s="11"/>
      <c r="S39" s="11"/>
      <c r="T39" s="11"/>
      <c r="U39" s="11"/>
      <c r="V39" s="11"/>
      <c r="W39" s="11"/>
      <c r="X39" s="24" t="s">
        <v>197</v>
      </c>
      <c r="Y39" s="22" t="s">
        <v>56</v>
      </c>
      <c r="Z39" s="11">
        <v>0</v>
      </c>
    </row>
    <row r="40" spans="1:35" ht="15.75" customHeight="1" x14ac:dyDescent="0.2">
      <c r="A40" s="30"/>
      <c r="B40" s="31" t="b">
        <v>0</v>
      </c>
      <c r="C40" s="31" t="s">
        <v>198</v>
      </c>
      <c r="D40" s="31" t="s">
        <v>199</v>
      </c>
      <c r="E40" s="31" t="s">
        <v>200</v>
      </c>
      <c r="F40" s="32" t="s">
        <v>50</v>
      </c>
      <c r="G40" s="33"/>
      <c r="H40" s="33"/>
      <c r="I40" s="33"/>
      <c r="J40" s="33"/>
      <c r="K40" s="33"/>
      <c r="L40" s="33"/>
      <c r="M40" s="33"/>
      <c r="N40" s="33"/>
      <c r="O40" s="33"/>
      <c r="P40" s="33"/>
      <c r="Q40" s="33"/>
      <c r="R40" s="33"/>
      <c r="S40" s="33"/>
      <c r="T40" s="33"/>
      <c r="U40" s="33"/>
      <c r="V40" s="33"/>
      <c r="W40" s="33"/>
      <c r="X40" s="34" t="s">
        <v>201</v>
      </c>
      <c r="Y40" s="22" t="s">
        <v>51</v>
      </c>
      <c r="Z40" s="33">
        <v>1</v>
      </c>
      <c r="AA40" s="30"/>
      <c r="AB40" s="30"/>
      <c r="AC40" s="30"/>
      <c r="AD40" s="30"/>
      <c r="AE40" s="30"/>
      <c r="AF40" s="30"/>
      <c r="AG40" s="30"/>
      <c r="AH40" s="30"/>
      <c r="AI40" s="30"/>
    </row>
    <row r="41" spans="1:35" ht="15.75" customHeight="1" x14ac:dyDescent="0.2">
      <c r="B41" s="31" t="b">
        <v>0</v>
      </c>
      <c r="C41" s="31" t="s">
        <v>202</v>
      </c>
      <c r="D41" s="31" t="s">
        <v>203</v>
      </c>
      <c r="E41" s="31" t="s">
        <v>204</v>
      </c>
      <c r="F41" s="32" t="s">
        <v>205</v>
      </c>
      <c r="G41" s="33"/>
      <c r="H41" s="33"/>
      <c r="I41" s="33"/>
      <c r="J41" s="33"/>
      <c r="K41" s="33"/>
      <c r="L41" s="33"/>
      <c r="M41" s="33"/>
      <c r="N41" s="33"/>
      <c r="O41" s="33"/>
      <c r="P41" s="33"/>
      <c r="Q41" s="33"/>
      <c r="R41" s="33"/>
      <c r="S41" s="33"/>
      <c r="T41" s="33"/>
      <c r="U41" s="33"/>
      <c r="V41" s="33"/>
      <c r="W41" s="33"/>
      <c r="X41" s="34" t="s">
        <v>201</v>
      </c>
      <c r="Y41" s="22" t="s">
        <v>51</v>
      </c>
      <c r="Z41" s="33">
        <v>1</v>
      </c>
    </row>
    <row r="42" spans="1:35" ht="27.75" customHeight="1" x14ac:dyDescent="0.2">
      <c r="B42" s="20" t="b">
        <v>0</v>
      </c>
      <c r="C42" s="20" t="s">
        <v>206</v>
      </c>
      <c r="D42" s="20" t="s">
        <v>207</v>
      </c>
      <c r="E42" s="20" t="s">
        <v>208</v>
      </c>
      <c r="F42" s="21" t="s">
        <v>50</v>
      </c>
      <c r="G42" s="25" t="s">
        <v>56</v>
      </c>
      <c r="H42" s="26"/>
      <c r="I42" s="25" t="s">
        <v>56</v>
      </c>
      <c r="J42" s="26"/>
      <c r="K42" s="25" t="s">
        <v>56</v>
      </c>
      <c r="L42" s="26"/>
      <c r="M42" s="25"/>
      <c r="N42" s="25" t="s">
        <v>56</v>
      </c>
      <c r="O42" s="26" t="s">
        <v>209</v>
      </c>
      <c r="P42" s="25"/>
      <c r="Q42" s="26"/>
      <c r="R42" s="25"/>
      <c r="S42" s="26"/>
      <c r="T42" s="25"/>
      <c r="U42" s="26"/>
      <c r="V42" s="25"/>
      <c r="W42" s="26"/>
      <c r="X42" s="24"/>
      <c r="Y42" s="22" t="s">
        <v>56</v>
      </c>
      <c r="Z42" s="11">
        <v>0</v>
      </c>
    </row>
    <row r="43" spans="1:35" ht="27.75" customHeight="1" x14ac:dyDescent="0.2">
      <c r="B43" s="20" t="b">
        <v>0</v>
      </c>
      <c r="C43" s="20" t="s">
        <v>210</v>
      </c>
      <c r="D43" s="20" t="s">
        <v>211</v>
      </c>
      <c r="E43" s="20" t="s">
        <v>212</v>
      </c>
      <c r="F43" s="21" t="s">
        <v>50</v>
      </c>
      <c r="G43" s="25" t="s">
        <v>56</v>
      </c>
      <c r="H43" s="26"/>
      <c r="I43" s="25" t="s">
        <v>56</v>
      </c>
      <c r="J43" s="26"/>
      <c r="K43" s="25" t="s">
        <v>51</v>
      </c>
      <c r="L43" s="26"/>
      <c r="M43" s="25"/>
      <c r="N43" s="25"/>
      <c r="O43" s="26" t="s">
        <v>74</v>
      </c>
      <c r="P43" s="25"/>
      <c r="Q43" s="26"/>
      <c r="R43" s="25"/>
      <c r="S43" s="26"/>
      <c r="T43" s="25"/>
      <c r="U43" s="26"/>
      <c r="V43" s="25"/>
      <c r="W43" s="26"/>
      <c r="X43" s="24"/>
      <c r="Y43" s="25" t="s">
        <v>56</v>
      </c>
      <c r="Z43" s="11">
        <v>0</v>
      </c>
    </row>
    <row r="44" spans="1:35" ht="27.75" customHeight="1" x14ac:dyDescent="0.2">
      <c r="B44" s="20" t="b">
        <v>0</v>
      </c>
      <c r="C44" s="20" t="s">
        <v>213</v>
      </c>
      <c r="D44" s="20" t="s">
        <v>214</v>
      </c>
      <c r="E44" s="20" t="s">
        <v>215</v>
      </c>
      <c r="F44" s="21" t="s">
        <v>205</v>
      </c>
      <c r="G44" s="25" t="s">
        <v>56</v>
      </c>
      <c r="H44" s="26"/>
      <c r="I44" s="25" t="s">
        <v>56</v>
      </c>
      <c r="J44" s="26"/>
      <c r="K44" s="25" t="s">
        <v>56</v>
      </c>
      <c r="L44" s="26"/>
      <c r="M44" s="25"/>
      <c r="N44" s="25" t="s">
        <v>56</v>
      </c>
      <c r="O44" s="26"/>
      <c r="P44" s="25"/>
      <c r="Q44" s="26"/>
      <c r="R44" s="25"/>
      <c r="S44" s="26"/>
      <c r="T44" s="25"/>
      <c r="U44" s="26"/>
      <c r="V44" s="25" t="s">
        <v>56</v>
      </c>
      <c r="W44" s="26" t="s">
        <v>216</v>
      </c>
      <c r="X44" s="24"/>
      <c r="Y44" s="22" t="s">
        <v>56</v>
      </c>
      <c r="Z44" s="11">
        <v>0</v>
      </c>
    </row>
    <row r="45" spans="1:35" ht="15.75" customHeight="1" x14ac:dyDescent="0.2">
      <c r="B45" s="35" t="b">
        <v>0</v>
      </c>
      <c r="C45" s="36"/>
      <c r="X45" s="2"/>
      <c r="Z45" s="1">
        <f>SUM(Z9:Z44)</f>
        <v>34</v>
      </c>
    </row>
    <row r="46" spans="1:35" ht="15.75" customHeight="1" x14ac:dyDescent="0.2">
      <c r="B46" s="35" t="b">
        <v>0</v>
      </c>
      <c r="C46" s="36" t="s">
        <v>156</v>
      </c>
      <c r="X46" s="2"/>
    </row>
    <row r="47" spans="1:35" ht="15.75" customHeight="1" x14ac:dyDescent="0.2">
      <c r="B47" s="37" t="b">
        <v>0</v>
      </c>
      <c r="C47" s="37" t="s">
        <v>18</v>
      </c>
      <c r="D47" s="37" t="s">
        <v>217</v>
      </c>
      <c r="E47" s="37" t="s">
        <v>19</v>
      </c>
      <c r="F47" s="38" t="s">
        <v>156</v>
      </c>
      <c r="G47" s="39"/>
      <c r="H47" s="39"/>
      <c r="I47" s="39"/>
      <c r="J47" s="39"/>
      <c r="K47" s="39"/>
      <c r="L47" s="39"/>
      <c r="M47" s="39"/>
      <c r="N47" s="39"/>
      <c r="O47" s="39"/>
      <c r="P47" s="39"/>
      <c r="Q47" s="39"/>
      <c r="R47" s="39"/>
      <c r="S47" s="39"/>
      <c r="T47" s="39"/>
      <c r="U47" s="39"/>
      <c r="V47" s="39"/>
      <c r="W47" s="39"/>
      <c r="X47" s="40"/>
      <c r="Y47" s="41" t="s">
        <v>51</v>
      </c>
      <c r="Z47" s="42"/>
    </row>
    <row r="48" spans="1:35" ht="15.75" customHeight="1" x14ac:dyDescent="0.2">
      <c r="B48" s="37" t="b">
        <v>0</v>
      </c>
      <c r="C48" s="37" t="s">
        <v>6</v>
      </c>
      <c r="D48" s="37" t="s">
        <v>8</v>
      </c>
      <c r="E48" s="37" t="s">
        <v>7</v>
      </c>
      <c r="F48" s="38" t="s">
        <v>156</v>
      </c>
      <c r="G48" s="39"/>
      <c r="H48" s="39"/>
      <c r="I48" s="39"/>
      <c r="J48" s="39"/>
      <c r="K48" s="39"/>
      <c r="L48" s="39"/>
      <c r="M48" s="39"/>
      <c r="N48" s="39"/>
      <c r="O48" s="39"/>
      <c r="P48" s="39"/>
      <c r="Q48" s="39"/>
      <c r="R48" s="39"/>
      <c r="S48" s="39"/>
      <c r="T48" s="39"/>
      <c r="U48" s="39"/>
      <c r="V48" s="39"/>
      <c r="W48" s="39"/>
      <c r="X48" s="40"/>
      <c r="Y48" s="41" t="s">
        <v>51</v>
      </c>
      <c r="Z48" s="39"/>
    </row>
    <row r="49" spans="1:35" ht="27.75" customHeight="1" x14ac:dyDescent="0.2">
      <c r="B49" s="37" t="b">
        <v>0</v>
      </c>
      <c r="C49" s="37" t="s">
        <v>218</v>
      </c>
      <c r="D49" s="37" t="s">
        <v>219</v>
      </c>
      <c r="E49" s="37" t="s">
        <v>220</v>
      </c>
      <c r="F49" s="38" t="s">
        <v>156</v>
      </c>
      <c r="G49" s="41"/>
      <c r="H49" s="43"/>
      <c r="I49" s="41"/>
      <c r="J49" s="43"/>
      <c r="K49" s="41"/>
      <c r="L49" s="43"/>
      <c r="M49" s="41"/>
      <c r="N49" s="41"/>
      <c r="O49" s="43"/>
      <c r="P49" s="41"/>
      <c r="Q49" s="43"/>
      <c r="R49" s="41"/>
      <c r="S49" s="43"/>
      <c r="T49" s="41"/>
      <c r="U49" s="43"/>
      <c r="V49" s="41"/>
      <c r="W49" s="43"/>
      <c r="X49" s="40"/>
      <c r="Y49" s="41" t="s">
        <v>51</v>
      </c>
      <c r="Z49" s="39"/>
    </row>
    <row r="50" spans="1:35" ht="27.75" customHeight="1" x14ac:dyDescent="0.2">
      <c r="B50" s="37" t="b">
        <v>0</v>
      </c>
      <c r="C50" s="37" t="s">
        <v>221</v>
      </c>
      <c r="D50" s="37" t="s">
        <v>222</v>
      </c>
      <c r="E50" s="37" t="s">
        <v>223</v>
      </c>
      <c r="F50" s="38" t="s">
        <v>156</v>
      </c>
      <c r="G50" s="41"/>
      <c r="H50" s="43" t="s">
        <v>224</v>
      </c>
      <c r="I50" s="41"/>
      <c r="J50" s="43"/>
      <c r="K50" s="41"/>
      <c r="L50" s="43"/>
      <c r="M50" s="41"/>
      <c r="N50" s="41"/>
      <c r="O50" s="43"/>
      <c r="P50" s="41"/>
      <c r="Q50" s="43"/>
      <c r="R50" s="41"/>
      <c r="S50" s="43"/>
      <c r="T50" s="41"/>
      <c r="U50" s="43"/>
      <c r="V50" s="41"/>
      <c r="W50" s="43"/>
      <c r="X50" s="40"/>
      <c r="Y50" s="41" t="s">
        <v>51</v>
      </c>
      <c r="Z50" s="39"/>
    </row>
    <row r="51" spans="1:35" ht="27.75" customHeight="1" x14ac:dyDescent="0.2">
      <c r="B51" s="37" t="b">
        <v>0</v>
      </c>
      <c r="C51" s="37" t="s">
        <v>225</v>
      </c>
      <c r="D51" s="37" t="s">
        <v>226</v>
      </c>
      <c r="E51" s="37" t="s">
        <v>227</v>
      </c>
      <c r="F51" s="38" t="s">
        <v>156</v>
      </c>
      <c r="G51" s="41"/>
      <c r="H51" s="43" t="s">
        <v>224</v>
      </c>
      <c r="I51" s="41"/>
      <c r="J51" s="43"/>
      <c r="K51" s="41"/>
      <c r="L51" s="43"/>
      <c r="M51" s="41"/>
      <c r="N51" s="41"/>
      <c r="O51" s="43"/>
      <c r="P51" s="41"/>
      <c r="Q51" s="43"/>
      <c r="R51" s="41"/>
      <c r="S51" s="43"/>
      <c r="T51" s="41"/>
      <c r="U51" s="43"/>
      <c r="V51" s="41"/>
      <c r="W51" s="43"/>
      <c r="X51" s="40"/>
      <c r="Y51" s="41" t="s">
        <v>51</v>
      </c>
      <c r="Z51" s="39"/>
    </row>
    <row r="52" spans="1:35" ht="27.75" customHeight="1" x14ac:dyDescent="0.2">
      <c r="B52" s="37" t="b">
        <v>0</v>
      </c>
      <c r="C52" s="37" t="s">
        <v>228</v>
      </c>
      <c r="D52" s="37" t="s">
        <v>229</v>
      </c>
      <c r="E52" s="37" t="s">
        <v>230</v>
      </c>
      <c r="F52" s="38" t="s">
        <v>156</v>
      </c>
      <c r="G52" s="41"/>
      <c r="H52" s="43" t="s">
        <v>224</v>
      </c>
      <c r="I52" s="41"/>
      <c r="J52" s="43"/>
      <c r="K52" s="41"/>
      <c r="L52" s="43"/>
      <c r="M52" s="41"/>
      <c r="N52" s="41"/>
      <c r="O52" s="43"/>
      <c r="P52" s="41"/>
      <c r="Q52" s="43"/>
      <c r="R52" s="41"/>
      <c r="S52" s="43"/>
      <c r="T52" s="41"/>
      <c r="U52" s="43"/>
      <c r="V52" s="41"/>
      <c r="W52" s="43"/>
      <c r="X52" s="40"/>
      <c r="Y52" s="41" t="s">
        <v>51</v>
      </c>
      <c r="Z52" s="39"/>
    </row>
    <row r="53" spans="1:35" ht="27.75" customHeight="1" x14ac:dyDescent="0.2">
      <c r="A53" s="42"/>
      <c r="B53" s="37" t="b">
        <v>0</v>
      </c>
      <c r="C53" s="37" t="s">
        <v>231</v>
      </c>
      <c r="D53" s="37" t="s">
        <v>232</v>
      </c>
      <c r="E53" s="37" t="s">
        <v>233</v>
      </c>
      <c r="F53" s="38" t="s">
        <v>156</v>
      </c>
      <c r="G53" s="41" t="s">
        <v>56</v>
      </c>
      <c r="H53" s="43" t="s">
        <v>224</v>
      </c>
      <c r="I53" s="41" t="s">
        <v>56</v>
      </c>
      <c r="J53" s="43"/>
      <c r="K53" s="41" t="s">
        <v>56</v>
      </c>
      <c r="L53" s="43"/>
      <c r="M53" s="41"/>
      <c r="N53" s="41" t="s">
        <v>51</v>
      </c>
      <c r="O53" s="43"/>
      <c r="P53" s="41"/>
      <c r="Q53" s="43"/>
      <c r="R53" s="41"/>
      <c r="S53" s="43"/>
      <c r="T53" s="41"/>
      <c r="U53" s="43"/>
      <c r="V53" s="41"/>
      <c r="W53" s="43"/>
      <c r="X53" s="40"/>
      <c r="Y53" s="41" t="s">
        <v>51</v>
      </c>
      <c r="Z53" s="39"/>
      <c r="AA53" s="42"/>
      <c r="AB53" s="42"/>
      <c r="AC53" s="42"/>
      <c r="AD53" s="42"/>
      <c r="AE53" s="42"/>
      <c r="AF53" s="42"/>
      <c r="AG53" s="42"/>
      <c r="AH53" s="42"/>
      <c r="AI53" s="42"/>
    </row>
    <row r="54" spans="1:35" ht="27.75" customHeight="1" x14ac:dyDescent="0.2">
      <c r="A54" s="42"/>
      <c r="B54" s="37" t="b">
        <v>0</v>
      </c>
      <c r="C54" s="37" t="s">
        <v>234</v>
      </c>
      <c r="D54" s="37" t="s">
        <v>235</v>
      </c>
      <c r="E54" s="37" t="s">
        <v>236</v>
      </c>
      <c r="F54" s="38" t="s">
        <v>156</v>
      </c>
      <c r="G54" s="41" t="s">
        <v>56</v>
      </c>
      <c r="H54" s="43"/>
      <c r="I54" s="41" t="s">
        <v>56</v>
      </c>
      <c r="J54" s="43"/>
      <c r="K54" s="41" t="s">
        <v>56</v>
      </c>
      <c r="L54" s="43"/>
      <c r="M54" s="41"/>
      <c r="N54" s="41"/>
      <c r="O54" s="43"/>
      <c r="P54" s="41"/>
      <c r="Q54" s="43"/>
      <c r="R54" s="41"/>
      <c r="S54" s="43"/>
      <c r="T54" s="41"/>
      <c r="U54" s="43"/>
      <c r="V54" s="41"/>
      <c r="W54" s="43"/>
      <c r="X54" s="40"/>
      <c r="Y54" s="41" t="s">
        <v>51</v>
      </c>
      <c r="Z54" s="39"/>
      <c r="AA54" s="42"/>
      <c r="AB54" s="42"/>
      <c r="AC54" s="42"/>
      <c r="AD54" s="42"/>
      <c r="AE54" s="42"/>
      <c r="AF54" s="42"/>
      <c r="AG54" s="42"/>
      <c r="AH54" s="42"/>
      <c r="AI54" s="42"/>
    </row>
    <row r="55" spans="1:35" ht="27.75" customHeight="1" x14ac:dyDescent="0.2">
      <c r="B55" s="37" t="b">
        <v>0</v>
      </c>
      <c r="C55" s="37" t="s">
        <v>237</v>
      </c>
      <c r="D55" s="37" t="s">
        <v>238</v>
      </c>
      <c r="E55" s="37" t="s">
        <v>239</v>
      </c>
      <c r="F55" s="38" t="s">
        <v>156</v>
      </c>
      <c r="G55" s="41" t="s">
        <v>56</v>
      </c>
      <c r="H55" s="43"/>
      <c r="I55" s="41" t="s">
        <v>56</v>
      </c>
      <c r="J55" s="43"/>
      <c r="K55" s="41" t="s">
        <v>56</v>
      </c>
      <c r="L55" s="43"/>
      <c r="M55" s="41"/>
      <c r="N55" s="41" t="s">
        <v>56</v>
      </c>
      <c r="O55" s="43" t="s">
        <v>74</v>
      </c>
      <c r="P55" s="41"/>
      <c r="Q55" s="43"/>
      <c r="R55" s="41"/>
      <c r="S55" s="43"/>
      <c r="T55" s="41"/>
      <c r="U55" s="43"/>
      <c r="V55" s="41"/>
      <c r="W55" s="43"/>
      <c r="X55" s="40"/>
      <c r="Y55" s="41" t="s">
        <v>51</v>
      </c>
      <c r="Z55" s="39"/>
    </row>
    <row r="56" spans="1:35" ht="15.75" customHeight="1" x14ac:dyDescent="0.2">
      <c r="B56" s="37" t="b">
        <v>0</v>
      </c>
      <c r="C56" s="37" t="s">
        <v>3</v>
      </c>
      <c r="D56" s="37" t="s">
        <v>5</v>
      </c>
      <c r="E56" s="37" t="s">
        <v>4</v>
      </c>
      <c r="F56" s="38" t="s">
        <v>156</v>
      </c>
      <c r="G56" s="39"/>
      <c r="H56" s="39"/>
      <c r="I56" s="39"/>
      <c r="J56" s="39"/>
      <c r="K56" s="39"/>
      <c r="L56" s="39"/>
      <c r="M56" s="39"/>
      <c r="N56" s="39"/>
      <c r="O56" s="39"/>
      <c r="P56" s="39"/>
      <c r="Q56" s="39"/>
      <c r="R56" s="39"/>
      <c r="S56" s="39"/>
      <c r="T56" s="39"/>
      <c r="U56" s="39"/>
      <c r="V56" s="39"/>
      <c r="W56" s="39"/>
      <c r="X56" s="40"/>
      <c r="Y56" s="41" t="s">
        <v>51</v>
      </c>
      <c r="Z56" s="39"/>
    </row>
    <row r="57" spans="1:35" ht="18.75" customHeight="1" x14ac:dyDescent="0.2">
      <c r="B57" s="37" t="b">
        <v>0</v>
      </c>
      <c r="C57" s="37" t="s">
        <v>240</v>
      </c>
      <c r="D57" s="37" t="s">
        <v>241</v>
      </c>
      <c r="E57" s="37" t="s">
        <v>242</v>
      </c>
      <c r="F57" s="38" t="s">
        <v>156</v>
      </c>
      <c r="G57" s="41"/>
      <c r="H57" s="43" t="s">
        <v>243</v>
      </c>
      <c r="I57" s="41"/>
      <c r="J57" s="43"/>
      <c r="K57" s="41"/>
      <c r="L57" s="43"/>
      <c r="M57" s="41"/>
      <c r="N57" s="41"/>
      <c r="O57" s="43" t="s">
        <v>74</v>
      </c>
      <c r="P57" s="41"/>
      <c r="Q57" s="43"/>
      <c r="R57" s="41"/>
      <c r="S57" s="43"/>
      <c r="T57" s="41"/>
      <c r="U57" s="43"/>
      <c r="V57" s="41"/>
      <c r="W57" s="43"/>
      <c r="X57" s="40"/>
      <c r="Y57" s="41"/>
      <c r="Z57" s="39"/>
    </row>
    <row r="58" spans="1:35" ht="27.75" customHeight="1" x14ac:dyDescent="0.2">
      <c r="B58" s="37" t="b">
        <v>0</v>
      </c>
      <c r="C58" s="37" t="s">
        <v>244</v>
      </c>
      <c r="D58" s="37" t="s">
        <v>245</v>
      </c>
      <c r="E58" s="37" t="s">
        <v>246</v>
      </c>
      <c r="F58" s="38" t="s">
        <v>156</v>
      </c>
      <c r="G58" s="41" t="s">
        <v>64</v>
      </c>
      <c r="H58" s="43" t="s">
        <v>247</v>
      </c>
      <c r="I58" s="41"/>
      <c r="J58" s="43"/>
      <c r="K58" s="41"/>
      <c r="L58" s="43"/>
      <c r="M58" s="41"/>
      <c r="N58" s="41"/>
      <c r="O58" s="43"/>
      <c r="P58" s="41"/>
      <c r="Q58" s="43"/>
      <c r="R58" s="41"/>
      <c r="S58" s="43"/>
      <c r="T58" s="41"/>
      <c r="U58" s="43"/>
      <c r="V58" s="41"/>
      <c r="W58" s="43"/>
      <c r="X58" s="40"/>
      <c r="Y58" s="41" t="s">
        <v>51</v>
      </c>
      <c r="Z58" s="39"/>
    </row>
    <row r="59" spans="1:35" ht="27.75" customHeight="1" x14ac:dyDescent="0.2">
      <c r="B59" s="37" t="b">
        <v>0</v>
      </c>
      <c r="C59" s="37" t="s">
        <v>248</v>
      </c>
      <c r="D59" s="37" t="s">
        <v>249</v>
      </c>
      <c r="E59" s="37" t="s">
        <v>250</v>
      </c>
      <c r="F59" s="38" t="s">
        <v>156</v>
      </c>
      <c r="G59" s="41" t="s">
        <v>56</v>
      </c>
      <c r="H59" s="43" t="s">
        <v>224</v>
      </c>
      <c r="I59" s="41"/>
      <c r="J59" s="43"/>
      <c r="K59" s="41"/>
      <c r="L59" s="43"/>
      <c r="M59" s="41"/>
      <c r="N59" s="41"/>
      <c r="O59" s="43"/>
      <c r="P59" s="41"/>
      <c r="Q59" s="43"/>
      <c r="R59" s="41"/>
      <c r="S59" s="43"/>
      <c r="T59" s="41"/>
      <c r="U59" s="43"/>
      <c r="V59" s="41"/>
      <c r="W59" s="43"/>
      <c r="X59" s="40"/>
      <c r="Y59" s="41" t="s">
        <v>51</v>
      </c>
      <c r="Z59" s="39"/>
    </row>
    <row r="60" spans="1:35" ht="27.75" customHeight="1" x14ac:dyDescent="0.2">
      <c r="B60" s="37" t="b">
        <v>0</v>
      </c>
      <c r="C60" s="37" t="s">
        <v>251</v>
      </c>
      <c r="D60" s="37" t="s">
        <v>252</v>
      </c>
      <c r="E60" s="37" t="s">
        <v>253</v>
      </c>
      <c r="F60" s="38" t="s">
        <v>156</v>
      </c>
      <c r="G60" s="41" t="s">
        <v>51</v>
      </c>
      <c r="H60" s="43" t="s">
        <v>224</v>
      </c>
      <c r="I60" s="41"/>
      <c r="J60" s="43"/>
      <c r="K60" s="41"/>
      <c r="L60" s="43"/>
      <c r="M60" s="41"/>
      <c r="N60" s="41"/>
      <c r="O60" s="43"/>
      <c r="P60" s="41"/>
      <c r="Q60" s="43"/>
      <c r="R60" s="41"/>
      <c r="S60" s="43"/>
      <c r="T60" s="41"/>
      <c r="U60" s="43"/>
      <c r="V60" s="41"/>
      <c r="W60" s="43"/>
      <c r="X60" s="40"/>
      <c r="Y60" s="41" t="s">
        <v>51</v>
      </c>
      <c r="Z60" s="39"/>
    </row>
    <row r="61" spans="1:35" ht="27.75" customHeight="1" x14ac:dyDescent="0.2">
      <c r="B61" s="37" t="b">
        <v>0</v>
      </c>
      <c r="C61" s="37" t="s">
        <v>254</v>
      </c>
      <c r="D61" s="37" t="s">
        <v>255</v>
      </c>
      <c r="E61" s="37" t="s">
        <v>253</v>
      </c>
      <c r="F61" s="38" t="s">
        <v>156</v>
      </c>
      <c r="G61" s="41" t="s">
        <v>51</v>
      </c>
      <c r="H61" s="43" t="s">
        <v>224</v>
      </c>
      <c r="I61" s="41"/>
      <c r="J61" s="43"/>
      <c r="K61" s="41"/>
      <c r="L61" s="43"/>
      <c r="M61" s="41"/>
      <c r="N61" s="41"/>
      <c r="O61" s="43"/>
      <c r="P61" s="41"/>
      <c r="Q61" s="43"/>
      <c r="R61" s="41"/>
      <c r="S61" s="43"/>
      <c r="T61" s="41"/>
      <c r="U61" s="43"/>
      <c r="V61" s="41"/>
      <c r="W61" s="43"/>
      <c r="X61" s="40"/>
      <c r="Y61" s="41" t="s">
        <v>51</v>
      </c>
      <c r="Z61" s="39"/>
    </row>
    <row r="62" spans="1:35" ht="27.75" customHeight="1" x14ac:dyDescent="0.2">
      <c r="B62" s="20" t="b">
        <v>0</v>
      </c>
      <c r="C62" s="20" t="s">
        <v>256</v>
      </c>
      <c r="D62" s="20" t="s">
        <v>257</v>
      </c>
      <c r="E62" s="20" t="s">
        <v>258</v>
      </c>
      <c r="F62" s="27" t="s">
        <v>156</v>
      </c>
      <c r="G62" s="22"/>
      <c r="H62" s="23"/>
      <c r="I62" s="22"/>
      <c r="J62" s="23"/>
      <c r="K62" s="22"/>
      <c r="L62" s="23"/>
      <c r="M62" s="22"/>
      <c r="N62" s="22"/>
      <c r="O62" s="23"/>
      <c r="P62" s="22"/>
      <c r="Q62" s="23"/>
      <c r="R62" s="22"/>
      <c r="S62" s="23"/>
      <c r="T62" s="22"/>
      <c r="U62" s="23"/>
      <c r="V62" s="22"/>
      <c r="W62" s="23"/>
      <c r="X62" s="24"/>
      <c r="Y62" s="22" t="s">
        <v>51</v>
      </c>
      <c r="Z62" s="11"/>
    </row>
    <row r="63" spans="1:35" ht="27.75" customHeight="1" x14ac:dyDescent="0.2">
      <c r="B63" s="20" t="b">
        <v>0</v>
      </c>
      <c r="C63" s="20" t="s">
        <v>259</v>
      </c>
      <c r="D63" s="20" t="s">
        <v>260</v>
      </c>
      <c r="E63" s="20" t="s">
        <v>261</v>
      </c>
      <c r="F63" s="44" t="s">
        <v>205</v>
      </c>
      <c r="G63" s="25" t="s">
        <v>56</v>
      </c>
      <c r="H63" s="26" t="s">
        <v>184</v>
      </c>
      <c r="I63" s="25"/>
      <c r="J63" s="26"/>
      <c r="K63" s="25"/>
      <c r="L63" s="26"/>
      <c r="M63" s="25"/>
      <c r="N63" s="25"/>
      <c r="O63" s="26"/>
      <c r="P63" s="25"/>
      <c r="Q63" s="26"/>
      <c r="R63" s="25"/>
      <c r="S63" s="26"/>
      <c r="T63" s="25"/>
      <c r="U63" s="26"/>
      <c r="V63" s="25"/>
      <c r="W63" s="26"/>
      <c r="X63" s="24"/>
      <c r="Y63" s="22" t="s">
        <v>51</v>
      </c>
      <c r="Z63" s="11"/>
    </row>
    <row r="64" spans="1:35" x14ac:dyDescent="0.2">
      <c r="B64" s="20" t="b">
        <v>0</v>
      </c>
      <c r="C64" s="20" t="s">
        <v>262</v>
      </c>
      <c r="D64" s="20" t="s">
        <v>263</v>
      </c>
      <c r="E64" s="20" t="s">
        <v>264</v>
      </c>
      <c r="F64" s="27" t="s">
        <v>173</v>
      </c>
      <c r="G64" s="25"/>
      <c r="H64" s="26" t="s">
        <v>184</v>
      </c>
      <c r="I64" s="25"/>
      <c r="J64" s="26"/>
      <c r="K64" s="25"/>
      <c r="L64" s="26"/>
      <c r="M64" s="25"/>
      <c r="N64" s="25"/>
      <c r="O64" s="26"/>
      <c r="P64" s="25"/>
      <c r="Q64" s="26"/>
      <c r="R64" s="25"/>
      <c r="S64" s="26"/>
      <c r="T64" s="25"/>
      <c r="U64" s="26"/>
      <c r="V64" s="25"/>
      <c r="W64" s="26"/>
      <c r="X64" s="24" t="s">
        <v>265</v>
      </c>
      <c r="Y64" s="22" t="s">
        <v>51</v>
      </c>
      <c r="Z64" s="11"/>
    </row>
    <row r="65" spans="24:24" ht="15.75" customHeight="1" x14ac:dyDescent="0.2">
      <c r="X65" s="2"/>
    </row>
    <row r="66" spans="24:24" ht="15.75" customHeight="1" x14ac:dyDescent="0.2">
      <c r="X66" s="2"/>
    </row>
    <row r="67" spans="24:24" ht="15.75" customHeight="1" x14ac:dyDescent="0.2">
      <c r="X67" s="2"/>
    </row>
    <row r="68" spans="24:24" ht="15.75" customHeight="1" x14ac:dyDescent="0.2">
      <c r="X68" s="2"/>
    </row>
    <row r="69" spans="24:24" ht="15.75" customHeight="1" x14ac:dyDescent="0.2">
      <c r="X69" s="2"/>
    </row>
    <row r="70" spans="24:24" ht="15.75" customHeight="1" x14ac:dyDescent="0.2">
      <c r="X70" s="2"/>
    </row>
    <row r="71" spans="24:24" ht="15.75" customHeight="1" x14ac:dyDescent="0.2">
      <c r="X71" s="2"/>
    </row>
    <row r="72" spans="24:24" ht="15.75" customHeight="1" x14ac:dyDescent="0.2">
      <c r="X72" s="2"/>
    </row>
    <row r="73" spans="24:24" ht="15.75" customHeight="1" x14ac:dyDescent="0.2">
      <c r="X73" s="2"/>
    </row>
    <row r="74" spans="24:24" ht="15.75" customHeight="1" x14ac:dyDescent="0.2">
      <c r="X74" s="2"/>
    </row>
    <row r="75" spans="24:24" ht="15.75" customHeight="1" x14ac:dyDescent="0.2">
      <c r="X75" s="2"/>
    </row>
    <row r="76" spans="24:24" ht="15.75" customHeight="1" x14ac:dyDescent="0.2">
      <c r="X76" s="2"/>
    </row>
    <row r="77" spans="24:24" ht="15.75" customHeight="1" x14ac:dyDescent="0.2">
      <c r="X77" s="2"/>
    </row>
    <row r="78" spans="24:24" ht="15.75" customHeight="1" x14ac:dyDescent="0.2">
      <c r="X78" s="2"/>
    </row>
    <row r="79" spans="24:24" ht="15.75" customHeight="1" x14ac:dyDescent="0.2">
      <c r="X79" s="2"/>
    </row>
    <row r="80" spans="24:24" ht="15.75" customHeight="1" x14ac:dyDescent="0.2">
      <c r="X80" s="2"/>
    </row>
    <row r="81" spans="24:24" ht="15.75" customHeight="1" x14ac:dyDescent="0.2">
      <c r="X81" s="2"/>
    </row>
    <row r="82" spans="24:24" ht="15.75" customHeight="1" x14ac:dyDescent="0.2">
      <c r="X82" s="2"/>
    </row>
    <row r="83" spans="24:24" ht="15.75" customHeight="1" x14ac:dyDescent="0.2">
      <c r="X83" s="2"/>
    </row>
    <row r="84" spans="24:24" ht="15.75" customHeight="1" x14ac:dyDescent="0.2">
      <c r="X84" s="2"/>
    </row>
    <row r="85" spans="24:24" ht="15.75" customHeight="1" x14ac:dyDescent="0.2">
      <c r="X85" s="2"/>
    </row>
    <row r="86" spans="24:24" ht="15.75" customHeight="1" x14ac:dyDescent="0.2">
      <c r="X86" s="2"/>
    </row>
    <row r="87" spans="24:24" ht="15.75" customHeight="1" x14ac:dyDescent="0.2">
      <c r="X87" s="2"/>
    </row>
    <row r="88" spans="24:24" ht="15.75" customHeight="1" x14ac:dyDescent="0.2">
      <c r="X88" s="2"/>
    </row>
    <row r="89" spans="24:24" ht="15.75" customHeight="1" x14ac:dyDescent="0.2">
      <c r="X89" s="2"/>
    </row>
    <row r="90" spans="24:24" ht="15.75" customHeight="1" x14ac:dyDescent="0.2">
      <c r="X90" s="2"/>
    </row>
    <row r="91" spans="24:24" ht="15.75" customHeight="1" x14ac:dyDescent="0.2">
      <c r="X91" s="2"/>
    </row>
    <row r="92" spans="24:24" ht="15.75" customHeight="1" x14ac:dyDescent="0.2">
      <c r="X92" s="2"/>
    </row>
    <row r="93" spans="24:24" ht="15.75" customHeight="1" x14ac:dyDescent="0.2">
      <c r="X93" s="2"/>
    </row>
    <row r="94" spans="24:24" ht="15.75" customHeight="1" x14ac:dyDescent="0.2">
      <c r="X94" s="2"/>
    </row>
    <row r="95" spans="24:24" ht="15.75" customHeight="1" x14ac:dyDescent="0.2">
      <c r="X95" s="2"/>
    </row>
    <row r="96" spans="24:24" ht="15.75" customHeight="1" x14ac:dyDescent="0.2">
      <c r="X96" s="2"/>
    </row>
    <row r="97" spans="24:24" ht="15.75" customHeight="1" x14ac:dyDescent="0.2">
      <c r="X97" s="2"/>
    </row>
    <row r="98" spans="24:24" ht="15.75" customHeight="1" x14ac:dyDescent="0.2">
      <c r="X98" s="2"/>
    </row>
    <row r="99" spans="24:24" ht="15.75" customHeight="1" x14ac:dyDescent="0.2">
      <c r="X99" s="2"/>
    </row>
    <row r="100" spans="24:24" ht="15.75" customHeight="1" x14ac:dyDescent="0.2">
      <c r="X100" s="2"/>
    </row>
    <row r="101" spans="24:24" ht="15.75" customHeight="1" x14ac:dyDescent="0.2">
      <c r="X101" s="2"/>
    </row>
    <row r="102" spans="24:24" ht="15.75" customHeight="1" x14ac:dyDescent="0.2">
      <c r="X102" s="2"/>
    </row>
    <row r="103" spans="24:24" ht="15.75" customHeight="1" x14ac:dyDescent="0.2">
      <c r="X103" s="2"/>
    </row>
    <row r="104" spans="24:24" ht="15.75" customHeight="1" x14ac:dyDescent="0.2">
      <c r="X104" s="2"/>
    </row>
    <row r="105" spans="24:24" ht="15.75" customHeight="1" x14ac:dyDescent="0.2">
      <c r="X105" s="2"/>
    </row>
    <row r="106" spans="24:24" ht="15.75" customHeight="1" x14ac:dyDescent="0.2">
      <c r="X106" s="2"/>
    </row>
    <row r="107" spans="24:24" ht="15.75" customHeight="1" x14ac:dyDescent="0.2">
      <c r="X107" s="2"/>
    </row>
    <row r="108" spans="24:24" ht="15.75" customHeight="1" x14ac:dyDescent="0.2">
      <c r="X108" s="2"/>
    </row>
    <row r="109" spans="24:24" ht="15.75" customHeight="1" x14ac:dyDescent="0.2">
      <c r="X109" s="2"/>
    </row>
    <row r="110" spans="24:24" ht="15.75" customHeight="1" x14ac:dyDescent="0.2">
      <c r="X110" s="2"/>
    </row>
    <row r="111" spans="24:24" ht="15.75" customHeight="1" x14ac:dyDescent="0.2">
      <c r="X111" s="2"/>
    </row>
    <row r="112" spans="24:24" ht="15.75" customHeight="1" x14ac:dyDescent="0.2">
      <c r="X112" s="2"/>
    </row>
    <row r="113" spans="24:24" ht="15.75" customHeight="1" x14ac:dyDescent="0.2">
      <c r="X113" s="2"/>
    </row>
    <row r="114" spans="24:24" ht="15.75" customHeight="1" x14ac:dyDescent="0.2">
      <c r="X114" s="2"/>
    </row>
    <row r="115" spans="24:24" ht="15.75" customHeight="1" x14ac:dyDescent="0.2">
      <c r="X115" s="2"/>
    </row>
    <row r="116" spans="24:24" ht="15.75" customHeight="1" x14ac:dyDescent="0.2">
      <c r="X116" s="2"/>
    </row>
    <row r="117" spans="24:24" ht="15.75" customHeight="1" x14ac:dyDescent="0.2">
      <c r="X117" s="2"/>
    </row>
    <row r="118" spans="24:24" ht="15.75" customHeight="1" x14ac:dyDescent="0.2">
      <c r="X118" s="2"/>
    </row>
    <row r="119" spans="24:24" ht="15.75" customHeight="1" x14ac:dyDescent="0.2">
      <c r="X119" s="2"/>
    </row>
    <row r="120" spans="24:24" ht="15.75" customHeight="1" x14ac:dyDescent="0.2">
      <c r="X120" s="2"/>
    </row>
    <row r="121" spans="24:24" ht="15.75" customHeight="1" x14ac:dyDescent="0.2">
      <c r="X121" s="2"/>
    </row>
    <row r="122" spans="24:24" ht="15.75" customHeight="1" x14ac:dyDescent="0.2">
      <c r="X122" s="2"/>
    </row>
    <row r="123" spans="24:24" ht="15.75" customHeight="1" x14ac:dyDescent="0.2">
      <c r="X123" s="2"/>
    </row>
    <row r="124" spans="24:24" ht="15.75" customHeight="1" x14ac:dyDescent="0.2">
      <c r="X124" s="2"/>
    </row>
    <row r="125" spans="24:24" ht="15.75" customHeight="1" x14ac:dyDescent="0.2">
      <c r="X125" s="2"/>
    </row>
    <row r="126" spans="24:24" ht="15.75" customHeight="1" x14ac:dyDescent="0.2">
      <c r="X126" s="2"/>
    </row>
    <row r="127" spans="24:24" ht="15.75" customHeight="1" x14ac:dyDescent="0.2">
      <c r="X127" s="2"/>
    </row>
    <row r="128" spans="24:24" ht="15.75" customHeight="1" x14ac:dyDescent="0.2">
      <c r="X128" s="2"/>
    </row>
    <row r="129" spans="24:24" ht="15.75" customHeight="1" x14ac:dyDescent="0.2">
      <c r="X129" s="2"/>
    </row>
    <row r="130" spans="24:24" ht="15.75" customHeight="1" x14ac:dyDescent="0.2">
      <c r="X130" s="2"/>
    </row>
    <row r="131" spans="24:24" ht="15.75" customHeight="1" x14ac:dyDescent="0.2">
      <c r="X131" s="2"/>
    </row>
    <row r="132" spans="24:24" ht="15.75" customHeight="1" x14ac:dyDescent="0.2">
      <c r="X132" s="2"/>
    </row>
    <row r="133" spans="24:24" ht="15.75" customHeight="1" x14ac:dyDescent="0.2">
      <c r="X133" s="2"/>
    </row>
    <row r="134" spans="24:24" ht="15.75" customHeight="1" x14ac:dyDescent="0.2">
      <c r="X134" s="2"/>
    </row>
    <row r="135" spans="24:24" ht="15.75" customHeight="1" x14ac:dyDescent="0.2">
      <c r="X135" s="2"/>
    </row>
    <row r="136" spans="24:24" ht="15.75" customHeight="1" x14ac:dyDescent="0.2">
      <c r="X136" s="2"/>
    </row>
    <row r="137" spans="24:24" ht="15.75" customHeight="1" x14ac:dyDescent="0.2">
      <c r="X137" s="2"/>
    </row>
    <row r="138" spans="24:24" ht="15.75" customHeight="1" x14ac:dyDescent="0.2">
      <c r="X138" s="2"/>
    </row>
    <row r="139" spans="24:24" ht="15.75" customHeight="1" x14ac:dyDescent="0.2">
      <c r="X139" s="2"/>
    </row>
    <row r="140" spans="24:24" ht="15.75" customHeight="1" x14ac:dyDescent="0.2">
      <c r="X140" s="2"/>
    </row>
    <row r="141" spans="24:24" ht="15.75" customHeight="1" x14ac:dyDescent="0.2">
      <c r="X141" s="2"/>
    </row>
    <row r="142" spans="24:24" ht="15.75" customHeight="1" x14ac:dyDescent="0.2">
      <c r="X142" s="2"/>
    </row>
    <row r="143" spans="24:24" ht="15.75" customHeight="1" x14ac:dyDescent="0.2">
      <c r="X143" s="2"/>
    </row>
    <row r="144" spans="24:24" ht="15.75" customHeight="1" x14ac:dyDescent="0.2">
      <c r="X144" s="2"/>
    </row>
    <row r="145" spans="24:24" ht="15.75" customHeight="1" x14ac:dyDescent="0.2">
      <c r="X145" s="2"/>
    </row>
    <row r="146" spans="24:24" ht="15.75" customHeight="1" x14ac:dyDescent="0.2">
      <c r="X146" s="2"/>
    </row>
    <row r="147" spans="24:24" ht="15.75" customHeight="1" x14ac:dyDescent="0.2">
      <c r="X147" s="2"/>
    </row>
    <row r="148" spans="24:24" ht="15.75" customHeight="1" x14ac:dyDescent="0.2">
      <c r="X148" s="2"/>
    </row>
    <row r="149" spans="24:24" ht="15.75" customHeight="1" x14ac:dyDescent="0.2">
      <c r="X149" s="2"/>
    </row>
    <row r="150" spans="24:24" ht="15.75" customHeight="1" x14ac:dyDescent="0.2">
      <c r="X150" s="2"/>
    </row>
    <row r="151" spans="24:24" ht="15.75" customHeight="1" x14ac:dyDescent="0.2">
      <c r="X151" s="2"/>
    </row>
    <row r="152" spans="24:24" ht="15.75" customHeight="1" x14ac:dyDescent="0.2">
      <c r="X152" s="2"/>
    </row>
    <row r="153" spans="24:24" ht="15.75" customHeight="1" x14ac:dyDescent="0.2">
      <c r="X153" s="2"/>
    </row>
    <row r="154" spans="24:24" ht="15.75" customHeight="1" x14ac:dyDescent="0.2">
      <c r="X154" s="2"/>
    </row>
    <row r="155" spans="24:24" ht="15.75" customHeight="1" x14ac:dyDescent="0.2">
      <c r="X155" s="2"/>
    </row>
    <row r="156" spans="24:24" ht="15.75" customHeight="1" x14ac:dyDescent="0.2">
      <c r="X156" s="2"/>
    </row>
    <row r="157" spans="24:24" ht="15.75" customHeight="1" x14ac:dyDescent="0.2">
      <c r="X157" s="2"/>
    </row>
    <row r="158" spans="24:24" ht="15.75" customHeight="1" x14ac:dyDescent="0.2">
      <c r="X158" s="2"/>
    </row>
    <row r="159" spans="24:24" ht="15.75" customHeight="1" x14ac:dyDescent="0.2">
      <c r="X159" s="2"/>
    </row>
    <row r="160" spans="24:24" ht="15.75" customHeight="1" x14ac:dyDescent="0.2">
      <c r="X160" s="2"/>
    </row>
    <row r="161" spans="24:24" ht="15.75" customHeight="1" x14ac:dyDescent="0.2">
      <c r="X161" s="2"/>
    </row>
    <row r="162" spans="24:24" ht="15.75" customHeight="1" x14ac:dyDescent="0.2">
      <c r="X162" s="2"/>
    </row>
    <row r="163" spans="24:24" ht="15.75" customHeight="1" x14ac:dyDescent="0.2">
      <c r="X163" s="2"/>
    </row>
    <row r="164" spans="24:24" ht="15.75" customHeight="1" x14ac:dyDescent="0.2">
      <c r="X164" s="2"/>
    </row>
    <row r="165" spans="24:24" ht="15.75" customHeight="1" x14ac:dyDescent="0.2">
      <c r="X165" s="2"/>
    </row>
    <row r="166" spans="24:24" ht="15.75" customHeight="1" x14ac:dyDescent="0.2">
      <c r="X166" s="2"/>
    </row>
    <row r="167" spans="24:24" ht="15.75" customHeight="1" x14ac:dyDescent="0.2">
      <c r="X167" s="2"/>
    </row>
    <row r="168" spans="24:24" ht="15.75" customHeight="1" x14ac:dyDescent="0.2">
      <c r="X168" s="2"/>
    </row>
    <row r="169" spans="24:24" ht="15.75" customHeight="1" x14ac:dyDescent="0.2">
      <c r="X169" s="2"/>
    </row>
    <row r="170" spans="24:24" ht="15.75" customHeight="1" x14ac:dyDescent="0.2">
      <c r="X170" s="2"/>
    </row>
    <row r="171" spans="24:24" ht="15.75" customHeight="1" x14ac:dyDescent="0.2">
      <c r="X171" s="2"/>
    </row>
    <row r="172" spans="24:24" ht="15.75" customHeight="1" x14ac:dyDescent="0.2">
      <c r="X172" s="2"/>
    </row>
    <row r="173" spans="24:24" ht="15.75" customHeight="1" x14ac:dyDescent="0.2">
      <c r="X173" s="2"/>
    </row>
    <row r="174" spans="24:24" ht="15.75" customHeight="1" x14ac:dyDescent="0.2">
      <c r="X174" s="2"/>
    </row>
    <row r="175" spans="24:24" ht="15.75" customHeight="1" x14ac:dyDescent="0.2">
      <c r="X175" s="2"/>
    </row>
    <row r="176" spans="24:24" ht="15.75" customHeight="1" x14ac:dyDescent="0.2">
      <c r="X176" s="2"/>
    </row>
    <row r="177" spans="24:24" ht="15.75" customHeight="1" x14ac:dyDescent="0.2">
      <c r="X177" s="2"/>
    </row>
    <row r="178" spans="24:24" ht="15.75" customHeight="1" x14ac:dyDescent="0.2">
      <c r="X178" s="2"/>
    </row>
    <row r="179" spans="24:24" ht="15.75" customHeight="1" x14ac:dyDescent="0.2">
      <c r="X179" s="2"/>
    </row>
    <row r="180" spans="24:24" ht="15.75" customHeight="1" x14ac:dyDescent="0.2">
      <c r="X180" s="2"/>
    </row>
    <row r="181" spans="24:24" ht="15.75" customHeight="1" x14ac:dyDescent="0.2">
      <c r="X181" s="2"/>
    </row>
    <row r="182" spans="24:24" ht="15.75" customHeight="1" x14ac:dyDescent="0.2">
      <c r="X182" s="2"/>
    </row>
    <row r="183" spans="24:24" ht="15.75" customHeight="1" x14ac:dyDescent="0.2">
      <c r="X183" s="2"/>
    </row>
    <row r="184" spans="24:24" ht="15.75" customHeight="1" x14ac:dyDescent="0.2">
      <c r="X184" s="2"/>
    </row>
    <row r="185" spans="24:24" ht="15.75" customHeight="1" x14ac:dyDescent="0.2">
      <c r="X185" s="2"/>
    </row>
    <row r="186" spans="24:24" ht="15.75" customHeight="1" x14ac:dyDescent="0.2">
      <c r="X186" s="2"/>
    </row>
    <row r="187" spans="24:24" ht="15.75" customHeight="1" x14ac:dyDescent="0.2">
      <c r="X187" s="2"/>
    </row>
    <row r="188" spans="24:24" ht="15.75" customHeight="1" x14ac:dyDescent="0.2">
      <c r="X188" s="2"/>
    </row>
    <row r="189" spans="24:24" ht="15.75" customHeight="1" x14ac:dyDescent="0.2">
      <c r="X189" s="2"/>
    </row>
    <row r="190" spans="24:24" ht="15.75" customHeight="1" x14ac:dyDescent="0.2">
      <c r="X190" s="2"/>
    </row>
    <row r="191" spans="24:24" ht="15.75" customHeight="1" x14ac:dyDescent="0.2">
      <c r="X191" s="2"/>
    </row>
    <row r="192" spans="24:24" ht="15.75" customHeight="1" x14ac:dyDescent="0.2">
      <c r="X192" s="2"/>
    </row>
    <row r="193" spans="24:24" ht="15.75" customHeight="1" x14ac:dyDescent="0.2">
      <c r="X193" s="2"/>
    </row>
    <row r="194" spans="24:24" ht="15.75" customHeight="1" x14ac:dyDescent="0.2">
      <c r="X194" s="2"/>
    </row>
    <row r="195" spans="24:24" ht="15.75" customHeight="1" x14ac:dyDescent="0.2">
      <c r="X195" s="2"/>
    </row>
    <row r="196" spans="24:24" ht="15.75" customHeight="1" x14ac:dyDescent="0.2">
      <c r="X196" s="2"/>
    </row>
    <row r="197" spans="24:24" ht="15.75" customHeight="1" x14ac:dyDescent="0.2">
      <c r="X197" s="2"/>
    </row>
    <row r="198" spans="24:24" ht="15.75" customHeight="1" x14ac:dyDescent="0.2">
      <c r="X198" s="2"/>
    </row>
    <row r="199" spans="24:24" ht="15.75" customHeight="1" x14ac:dyDescent="0.2">
      <c r="X199" s="2"/>
    </row>
    <row r="200" spans="24:24" ht="15.75" customHeight="1" x14ac:dyDescent="0.2">
      <c r="X200" s="2"/>
    </row>
    <row r="201" spans="24:24" ht="15.75" customHeight="1" x14ac:dyDescent="0.2">
      <c r="X201" s="2"/>
    </row>
    <row r="202" spans="24:24" ht="15.75" customHeight="1" x14ac:dyDescent="0.2">
      <c r="X202" s="2"/>
    </row>
    <row r="203" spans="24:24" ht="15.75" customHeight="1" x14ac:dyDescent="0.2">
      <c r="X203" s="2"/>
    </row>
    <row r="204" spans="24:24" ht="15.75" customHeight="1" x14ac:dyDescent="0.2">
      <c r="X204" s="2"/>
    </row>
    <row r="205" spans="24:24" ht="15.75" customHeight="1" x14ac:dyDescent="0.2">
      <c r="X205" s="2"/>
    </row>
    <row r="206" spans="24:24" ht="15.75" customHeight="1" x14ac:dyDescent="0.2">
      <c r="X206" s="2"/>
    </row>
    <row r="207" spans="24:24" ht="15.75" customHeight="1" x14ac:dyDescent="0.2">
      <c r="X207" s="2"/>
    </row>
    <row r="208" spans="24:24" ht="15.75" customHeight="1" x14ac:dyDescent="0.2">
      <c r="X208" s="2"/>
    </row>
    <row r="209" spans="24:24" ht="15.75" customHeight="1" x14ac:dyDescent="0.2">
      <c r="X209" s="2"/>
    </row>
    <row r="210" spans="24:24" ht="15.75" customHeight="1" x14ac:dyDescent="0.2">
      <c r="X210" s="2"/>
    </row>
    <row r="211" spans="24:24" ht="15.75" customHeight="1" x14ac:dyDescent="0.2">
      <c r="X211" s="2"/>
    </row>
    <row r="212" spans="24:24" ht="15.75" customHeight="1" x14ac:dyDescent="0.2">
      <c r="X212" s="2"/>
    </row>
    <row r="213" spans="24:24" ht="15.75" customHeight="1" x14ac:dyDescent="0.2">
      <c r="X213" s="2"/>
    </row>
    <row r="214" spans="24:24" ht="15.75" customHeight="1" x14ac:dyDescent="0.2">
      <c r="X214" s="2"/>
    </row>
    <row r="215" spans="24:24" ht="15.75" customHeight="1" x14ac:dyDescent="0.2">
      <c r="X215" s="2"/>
    </row>
    <row r="216" spans="24:24" ht="15.75" customHeight="1" x14ac:dyDescent="0.2">
      <c r="X216" s="2"/>
    </row>
    <row r="217" spans="24:24" ht="15.75" customHeight="1" x14ac:dyDescent="0.2">
      <c r="X217" s="2"/>
    </row>
    <row r="218" spans="24:24" ht="15.75" customHeight="1" x14ac:dyDescent="0.2">
      <c r="X218" s="2"/>
    </row>
    <row r="219" spans="24:24" ht="15.75" customHeight="1" x14ac:dyDescent="0.2">
      <c r="X219" s="2"/>
    </row>
    <row r="220" spans="24:24" ht="15.75" customHeight="1" x14ac:dyDescent="0.2">
      <c r="X220" s="2"/>
    </row>
    <row r="221" spans="24:24" ht="15.75" customHeight="1" x14ac:dyDescent="0.2">
      <c r="X221" s="2"/>
    </row>
    <row r="222" spans="24:24" ht="15.75" customHeight="1" x14ac:dyDescent="0.2">
      <c r="X222" s="2"/>
    </row>
    <row r="223" spans="24:24" ht="15.75" customHeight="1" x14ac:dyDescent="0.2">
      <c r="X223" s="2"/>
    </row>
    <row r="224" spans="24:24" ht="15.75" customHeight="1" x14ac:dyDescent="0.2">
      <c r="X224" s="2"/>
    </row>
    <row r="225" spans="24:24" ht="15.75" customHeight="1" x14ac:dyDescent="0.2">
      <c r="X225" s="2"/>
    </row>
    <row r="226" spans="24:24" ht="15.75" customHeight="1" x14ac:dyDescent="0.2">
      <c r="X226" s="2"/>
    </row>
    <row r="227" spans="24:24" ht="15.75" customHeight="1" x14ac:dyDescent="0.2">
      <c r="X227" s="2"/>
    </row>
    <row r="228" spans="24:24" ht="15.75" customHeight="1" x14ac:dyDescent="0.2">
      <c r="X228" s="2"/>
    </row>
    <row r="229" spans="24:24" ht="15.75" customHeight="1" x14ac:dyDescent="0.2">
      <c r="X229" s="2"/>
    </row>
    <row r="230" spans="24:24" ht="15.75" customHeight="1" x14ac:dyDescent="0.2">
      <c r="X230" s="2"/>
    </row>
    <row r="231" spans="24:24" ht="15.75" customHeight="1" x14ac:dyDescent="0.2">
      <c r="X231" s="2"/>
    </row>
    <row r="232" spans="24:24" ht="15.75" customHeight="1" x14ac:dyDescent="0.2">
      <c r="X232" s="2"/>
    </row>
    <row r="233" spans="24:24" ht="15.75" customHeight="1" x14ac:dyDescent="0.2">
      <c r="X233" s="2"/>
    </row>
    <row r="234" spans="24:24" ht="15.75" customHeight="1" x14ac:dyDescent="0.2">
      <c r="X234" s="2"/>
    </row>
    <row r="235" spans="24:24" ht="15.75" customHeight="1" x14ac:dyDescent="0.2">
      <c r="X235" s="2"/>
    </row>
    <row r="236" spans="24:24" ht="15.75" customHeight="1" x14ac:dyDescent="0.2">
      <c r="X236" s="2"/>
    </row>
    <row r="237" spans="24:24" ht="15.75" customHeight="1" x14ac:dyDescent="0.2">
      <c r="X237" s="2"/>
    </row>
    <row r="238" spans="24:24" ht="15.75" customHeight="1" x14ac:dyDescent="0.2">
      <c r="X238" s="2"/>
    </row>
    <row r="239" spans="24:24" ht="15.75" customHeight="1" x14ac:dyDescent="0.2">
      <c r="X239" s="2"/>
    </row>
    <row r="240" spans="24:24" ht="15.75" customHeight="1" x14ac:dyDescent="0.2">
      <c r="X240" s="2"/>
    </row>
    <row r="241" spans="24:24" ht="15.75" customHeight="1" x14ac:dyDescent="0.2">
      <c r="X241" s="2"/>
    </row>
    <row r="242" spans="24:24" ht="15.75" customHeight="1" x14ac:dyDescent="0.2">
      <c r="X242" s="2"/>
    </row>
    <row r="243" spans="24:24" ht="15.75" customHeight="1" x14ac:dyDescent="0.2">
      <c r="X243" s="2"/>
    </row>
    <row r="244" spans="24:24" ht="15.75" customHeight="1" x14ac:dyDescent="0.2">
      <c r="X244" s="2"/>
    </row>
    <row r="245" spans="24:24" ht="15.75" customHeight="1" x14ac:dyDescent="0.2">
      <c r="X245" s="2"/>
    </row>
    <row r="246" spans="24:24" ht="15.75" customHeight="1" x14ac:dyDescent="0.2">
      <c r="X246" s="2"/>
    </row>
    <row r="247" spans="24:24" ht="15.75" customHeight="1" x14ac:dyDescent="0.2">
      <c r="X247" s="2"/>
    </row>
    <row r="248" spans="24:24" ht="15.75" customHeight="1" x14ac:dyDescent="0.2">
      <c r="X248" s="2"/>
    </row>
    <row r="249" spans="24:24" ht="15.75" customHeight="1" x14ac:dyDescent="0.2">
      <c r="X249" s="2"/>
    </row>
    <row r="250" spans="24:24" ht="15.75" customHeight="1" x14ac:dyDescent="0.2">
      <c r="X250" s="2"/>
    </row>
    <row r="251" spans="24:24" ht="15.75" customHeight="1" x14ac:dyDescent="0.2">
      <c r="X251" s="2"/>
    </row>
    <row r="252" spans="24:24" ht="15.75" customHeight="1" x14ac:dyDescent="0.2">
      <c r="X252" s="2"/>
    </row>
    <row r="253" spans="24:24" ht="15.75" customHeight="1" x14ac:dyDescent="0.2">
      <c r="X253" s="2"/>
    </row>
    <row r="254" spans="24:24" ht="15.75" customHeight="1" x14ac:dyDescent="0.2">
      <c r="X254" s="2"/>
    </row>
    <row r="255" spans="24:24" ht="15.75" customHeight="1" x14ac:dyDescent="0.2">
      <c r="X255" s="2"/>
    </row>
    <row r="256" spans="24:24" ht="15.75" customHeight="1" x14ac:dyDescent="0.2">
      <c r="X256" s="2"/>
    </row>
    <row r="257" spans="24:24" ht="15.75" customHeight="1" x14ac:dyDescent="0.2">
      <c r="X257" s="2"/>
    </row>
    <row r="258" spans="24:24" ht="15.75" customHeight="1" x14ac:dyDescent="0.2">
      <c r="X258" s="2"/>
    </row>
    <row r="259" spans="24:24" ht="15.75" customHeight="1" x14ac:dyDescent="0.2">
      <c r="X259" s="2"/>
    </row>
    <row r="260" spans="24:24" ht="15.75" customHeight="1" x14ac:dyDescent="0.2">
      <c r="X260" s="2"/>
    </row>
    <row r="261" spans="24:24" ht="15.75" customHeight="1" x14ac:dyDescent="0.2">
      <c r="X261" s="2"/>
    </row>
    <row r="262" spans="24:24" ht="15.75" customHeight="1" x14ac:dyDescent="0.2">
      <c r="X262" s="2"/>
    </row>
    <row r="263" spans="24:24" ht="15.75" customHeight="1" x14ac:dyDescent="0.2">
      <c r="X263" s="2"/>
    </row>
    <row r="264" spans="24:24" ht="15.75" customHeight="1" x14ac:dyDescent="0.2">
      <c r="X264" s="2"/>
    </row>
    <row r="265" spans="24:24" ht="15.75" customHeight="1" x14ac:dyDescent="0.2">
      <c r="X265" s="2"/>
    </row>
    <row r="266" spans="24:24" ht="15.75" customHeight="1" x14ac:dyDescent="0.2">
      <c r="X266" s="2"/>
    </row>
    <row r="267" spans="24:24" ht="15.75" customHeight="1" x14ac:dyDescent="0.2">
      <c r="X267" s="2"/>
    </row>
    <row r="268" spans="24:24" ht="15.75" customHeight="1" x14ac:dyDescent="0.2">
      <c r="X268" s="2"/>
    </row>
    <row r="269" spans="24:24" ht="15.75" customHeight="1" x14ac:dyDescent="0.2">
      <c r="X269" s="2"/>
    </row>
    <row r="270" spans="24:24" ht="15.75" customHeight="1" x14ac:dyDescent="0.2">
      <c r="X270" s="2"/>
    </row>
    <row r="271" spans="24:24" ht="15.75" customHeight="1" x14ac:dyDescent="0.2">
      <c r="X271" s="2"/>
    </row>
    <row r="272" spans="24:24" ht="15.75" customHeight="1" x14ac:dyDescent="0.2">
      <c r="X272" s="2"/>
    </row>
    <row r="273" spans="24:24" ht="15.75" customHeight="1" x14ac:dyDescent="0.2">
      <c r="X273" s="2"/>
    </row>
    <row r="274" spans="24:24" ht="15.75" customHeight="1" x14ac:dyDescent="0.2">
      <c r="X274" s="2"/>
    </row>
    <row r="275" spans="24:24" ht="15.75" customHeight="1" x14ac:dyDescent="0.2">
      <c r="X275" s="2"/>
    </row>
    <row r="276" spans="24:24" ht="15.75" customHeight="1" x14ac:dyDescent="0.2">
      <c r="X276" s="2"/>
    </row>
    <row r="277" spans="24:24" ht="15.75" customHeight="1" x14ac:dyDescent="0.2">
      <c r="X277" s="2"/>
    </row>
    <row r="278" spans="24:24" ht="15.75" customHeight="1" x14ac:dyDescent="0.2">
      <c r="X278" s="2"/>
    </row>
    <row r="279" spans="24:24" ht="15.75" customHeight="1" x14ac:dyDescent="0.2">
      <c r="X279" s="2"/>
    </row>
    <row r="280" spans="24:24" ht="15.75" customHeight="1" x14ac:dyDescent="0.2">
      <c r="X280" s="2"/>
    </row>
    <row r="281" spans="24:24" ht="15.75" customHeight="1" x14ac:dyDescent="0.2">
      <c r="X281" s="2"/>
    </row>
    <row r="282" spans="24:24" ht="15.75" customHeight="1" x14ac:dyDescent="0.2">
      <c r="X282" s="2"/>
    </row>
    <row r="283" spans="24:24" ht="15.75" customHeight="1" x14ac:dyDescent="0.2">
      <c r="X283" s="2"/>
    </row>
    <row r="284" spans="24:24" ht="15.75" customHeight="1" x14ac:dyDescent="0.2">
      <c r="X284" s="2"/>
    </row>
    <row r="285" spans="24:24" ht="15.75" customHeight="1" x14ac:dyDescent="0.2">
      <c r="X285" s="2"/>
    </row>
    <row r="286" spans="24:24" ht="15.75" customHeight="1" x14ac:dyDescent="0.2">
      <c r="X286" s="2"/>
    </row>
    <row r="287" spans="24:24" ht="15.75" customHeight="1" x14ac:dyDescent="0.2">
      <c r="X287" s="2"/>
    </row>
    <row r="288" spans="24:24" ht="15.75" customHeight="1" x14ac:dyDescent="0.2">
      <c r="X288" s="2"/>
    </row>
    <row r="289" spans="24:24" ht="15.75" customHeight="1" x14ac:dyDescent="0.2">
      <c r="X289" s="2"/>
    </row>
    <row r="290" spans="24:24" ht="15.75" customHeight="1" x14ac:dyDescent="0.2">
      <c r="X290" s="2"/>
    </row>
    <row r="291" spans="24:24" ht="15.75" customHeight="1" x14ac:dyDescent="0.2">
      <c r="X291" s="2"/>
    </row>
    <row r="292" spans="24:24" ht="15.75" customHeight="1" x14ac:dyDescent="0.2">
      <c r="X292" s="2"/>
    </row>
    <row r="293" spans="24:24" ht="15.75" customHeight="1" x14ac:dyDescent="0.2">
      <c r="X293" s="2"/>
    </row>
    <row r="294" spans="24:24" ht="15.75" customHeight="1" x14ac:dyDescent="0.2">
      <c r="X294" s="2"/>
    </row>
    <row r="295" spans="24:24" ht="15.75" customHeight="1" x14ac:dyDescent="0.2">
      <c r="X295" s="2"/>
    </row>
    <row r="296" spans="24:24" ht="15.75" customHeight="1" x14ac:dyDescent="0.2">
      <c r="X296" s="2"/>
    </row>
    <row r="297" spans="24:24" ht="15.75" customHeight="1" x14ac:dyDescent="0.2">
      <c r="X297" s="2"/>
    </row>
    <row r="298" spans="24:24" ht="15.75" customHeight="1" x14ac:dyDescent="0.2">
      <c r="X298" s="2"/>
    </row>
    <row r="299" spans="24:24" ht="15.75" customHeight="1" x14ac:dyDescent="0.2">
      <c r="X299" s="2"/>
    </row>
    <row r="300" spans="24:24" ht="15.75" customHeight="1" x14ac:dyDescent="0.2">
      <c r="X300" s="2"/>
    </row>
    <row r="301" spans="24:24" ht="15.75" customHeight="1" x14ac:dyDescent="0.2">
      <c r="X301" s="2"/>
    </row>
    <row r="302" spans="24:24" ht="15.75" customHeight="1" x14ac:dyDescent="0.2">
      <c r="X302" s="2"/>
    </row>
    <row r="303" spans="24:24" ht="15.75" customHeight="1" x14ac:dyDescent="0.2">
      <c r="X303" s="2"/>
    </row>
    <row r="304" spans="24:24" ht="15.75" customHeight="1" x14ac:dyDescent="0.2">
      <c r="X304" s="2"/>
    </row>
    <row r="305" spans="24:24" ht="15.75" customHeight="1" x14ac:dyDescent="0.2">
      <c r="X305" s="2"/>
    </row>
    <row r="306" spans="24:24" ht="15.75" customHeight="1" x14ac:dyDescent="0.2">
      <c r="X306" s="2"/>
    </row>
    <row r="307" spans="24:24" ht="15.75" customHeight="1" x14ac:dyDescent="0.2">
      <c r="X307" s="2"/>
    </row>
    <row r="308" spans="24:24" ht="15.75" customHeight="1" x14ac:dyDescent="0.2">
      <c r="X308" s="2"/>
    </row>
    <row r="309" spans="24:24" ht="15.75" customHeight="1" x14ac:dyDescent="0.2">
      <c r="X309" s="2"/>
    </row>
    <row r="310" spans="24:24" ht="15.75" customHeight="1" x14ac:dyDescent="0.2">
      <c r="X310" s="2"/>
    </row>
    <row r="311" spans="24:24" ht="15.75" customHeight="1" x14ac:dyDescent="0.2">
      <c r="X311" s="2"/>
    </row>
    <row r="312" spans="24:24" ht="15.75" customHeight="1" x14ac:dyDescent="0.2">
      <c r="X312" s="2"/>
    </row>
    <row r="313" spans="24:24" ht="15.75" customHeight="1" x14ac:dyDescent="0.2">
      <c r="X313" s="2"/>
    </row>
    <row r="314" spans="24:24" ht="15.75" customHeight="1" x14ac:dyDescent="0.2">
      <c r="X314" s="2"/>
    </row>
    <row r="315" spans="24:24" ht="15.75" customHeight="1" x14ac:dyDescent="0.2">
      <c r="X315" s="2"/>
    </row>
    <row r="316" spans="24:24" ht="15.75" customHeight="1" x14ac:dyDescent="0.2">
      <c r="X316" s="2"/>
    </row>
    <row r="317" spans="24:24" ht="15.75" customHeight="1" x14ac:dyDescent="0.2">
      <c r="X317" s="2"/>
    </row>
    <row r="318" spans="24:24" ht="15.75" customHeight="1" x14ac:dyDescent="0.2">
      <c r="X318" s="2"/>
    </row>
    <row r="319" spans="24:24" ht="15.75" customHeight="1" x14ac:dyDescent="0.2">
      <c r="X319" s="2"/>
    </row>
    <row r="320" spans="24:24" ht="15.75" customHeight="1" x14ac:dyDescent="0.2">
      <c r="X320" s="2"/>
    </row>
    <row r="321" spans="24:24" ht="15.75" customHeight="1" x14ac:dyDescent="0.2">
      <c r="X321" s="2"/>
    </row>
    <row r="322" spans="24:24" ht="15.75" customHeight="1" x14ac:dyDescent="0.2">
      <c r="X322" s="2"/>
    </row>
    <row r="323" spans="24:24" ht="15.75" customHeight="1" x14ac:dyDescent="0.2">
      <c r="X323" s="2"/>
    </row>
    <row r="324" spans="24:24" ht="15.75" customHeight="1" x14ac:dyDescent="0.2">
      <c r="X324" s="2"/>
    </row>
    <row r="325" spans="24:24" ht="15.75" customHeight="1" x14ac:dyDescent="0.2">
      <c r="X325" s="2"/>
    </row>
    <row r="326" spans="24:24" ht="15.75" customHeight="1" x14ac:dyDescent="0.2">
      <c r="X326" s="2"/>
    </row>
    <row r="327" spans="24:24" ht="15.75" customHeight="1" x14ac:dyDescent="0.2">
      <c r="X327" s="2"/>
    </row>
    <row r="328" spans="24:24" ht="15.75" customHeight="1" x14ac:dyDescent="0.2">
      <c r="X328" s="2"/>
    </row>
    <row r="329" spans="24:24" ht="15.75" customHeight="1" x14ac:dyDescent="0.2">
      <c r="X329" s="2"/>
    </row>
    <row r="330" spans="24:24" ht="15.75" customHeight="1" x14ac:dyDescent="0.2">
      <c r="X330" s="2"/>
    </row>
    <row r="331" spans="24:24" ht="15.75" customHeight="1" x14ac:dyDescent="0.2">
      <c r="X331" s="2"/>
    </row>
    <row r="332" spans="24:24" ht="15.75" customHeight="1" x14ac:dyDescent="0.2">
      <c r="X332" s="2"/>
    </row>
    <row r="333" spans="24:24" ht="15.75" customHeight="1" x14ac:dyDescent="0.2">
      <c r="X333" s="2"/>
    </row>
    <row r="334" spans="24:24" ht="15.75" customHeight="1" x14ac:dyDescent="0.2">
      <c r="X334" s="2"/>
    </row>
    <row r="335" spans="24:24" ht="15.75" customHeight="1" x14ac:dyDescent="0.2">
      <c r="X335" s="2"/>
    </row>
    <row r="336" spans="24:24" ht="15.75" customHeight="1" x14ac:dyDescent="0.2">
      <c r="X336" s="2"/>
    </row>
    <row r="337" spans="24:24" ht="15.75" customHeight="1" x14ac:dyDescent="0.2">
      <c r="X337" s="2"/>
    </row>
    <row r="338" spans="24:24" ht="15.75" customHeight="1" x14ac:dyDescent="0.2">
      <c r="X338" s="2"/>
    </row>
    <row r="339" spans="24:24" ht="15.75" customHeight="1" x14ac:dyDescent="0.2">
      <c r="X339" s="2"/>
    </row>
    <row r="340" spans="24:24" ht="15.75" customHeight="1" x14ac:dyDescent="0.2">
      <c r="X340" s="2"/>
    </row>
    <row r="341" spans="24:24" ht="15.75" customHeight="1" x14ac:dyDescent="0.2">
      <c r="X341" s="2"/>
    </row>
    <row r="342" spans="24:24" ht="15.75" customHeight="1" x14ac:dyDescent="0.2">
      <c r="X342" s="2"/>
    </row>
    <row r="343" spans="24:24" ht="15.75" customHeight="1" x14ac:dyDescent="0.2">
      <c r="X343" s="2"/>
    </row>
    <row r="344" spans="24:24" ht="15.75" customHeight="1" x14ac:dyDescent="0.2">
      <c r="X344" s="2"/>
    </row>
    <row r="345" spans="24:24" ht="15.75" customHeight="1" x14ac:dyDescent="0.2">
      <c r="X345" s="2"/>
    </row>
    <row r="346" spans="24:24" ht="15.75" customHeight="1" x14ac:dyDescent="0.2">
      <c r="X346" s="2"/>
    </row>
    <row r="347" spans="24:24" ht="15.75" customHeight="1" x14ac:dyDescent="0.2">
      <c r="X347" s="2"/>
    </row>
    <row r="348" spans="24:24" ht="15.75" customHeight="1" x14ac:dyDescent="0.2">
      <c r="X348" s="2"/>
    </row>
    <row r="349" spans="24:24" ht="15.75" customHeight="1" x14ac:dyDescent="0.2">
      <c r="X349" s="2"/>
    </row>
    <row r="350" spans="24:24" ht="15.75" customHeight="1" x14ac:dyDescent="0.2">
      <c r="X350" s="2"/>
    </row>
    <row r="351" spans="24:24" ht="15.75" customHeight="1" x14ac:dyDescent="0.2">
      <c r="X351" s="2"/>
    </row>
    <row r="352" spans="24:24" ht="15.75" customHeight="1" x14ac:dyDescent="0.2">
      <c r="X352" s="2"/>
    </row>
    <row r="353" spans="24:24" ht="15.75" customHeight="1" x14ac:dyDescent="0.2">
      <c r="X353" s="2"/>
    </row>
    <row r="354" spans="24:24" ht="15.75" customHeight="1" x14ac:dyDescent="0.2">
      <c r="X354" s="2"/>
    </row>
    <row r="355" spans="24:24" ht="15.75" customHeight="1" x14ac:dyDescent="0.2">
      <c r="X355" s="2"/>
    </row>
    <row r="356" spans="24:24" ht="15.75" customHeight="1" x14ac:dyDescent="0.2">
      <c r="X356" s="2"/>
    </row>
    <row r="357" spans="24:24" ht="15.75" customHeight="1" x14ac:dyDescent="0.2">
      <c r="X357" s="2"/>
    </row>
    <row r="358" spans="24:24" ht="15.75" customHeight="1" x14ac:dyDescent="0.2">
      <c r="X358" s="2"/>
    </row>
    <row r="359" spans="24:24" ht="15.75" customHeight="1" x14ac:dyDescent="0.2">
      <c r="X359" s="2"/>
    </row>
    <row r="360" spans="24:24" ht="15.75" customHeight="1" x14ac:dyDescent="0.2">
      <c r="X360" s="2"/>
    </row>
    <row r="361" spans="24:24" ht="15.75" customHeight="1" x14ac:dyDescent="0.2">
      <c r="X361" s="2"/>
    </row>
    <row r="362" spans="24:24" ht="15.75" customHeight="1" x14ac:dyDescent="0.2">
      <c r="X362" s="2"/>
    </row>
    <row r="363" spans="24:24" ht="15.75" customHeight="1" x14ac:dyDescent="0.2">
      <c r="X363" s="2"/>
    </row>
    <row r="364" spans="24:24" ht="15.75" customHeight="1" x14ac:dyDescent="0.2">
      <c r="X364" s="2"/>
    </row>
    <row r="365" spans="24:24" ht="15.75" customHeight="1" x14ac:dyDescent="0.2">
      <c r="X365" s="2"/>
    </row>
    <row r="366" spans="24:24" ht="15.75" customHeight="1" x14ac:dyDescent="0.2">
      <c r="X366" s="2"/>
    </row>
    <row r="367" spans="24:24" ht="15.75" customHeight="1" x14ac:dyDescent="0.2">
      <c r="X367" s="2"/>
    </row>
    <row r="368" spans="24:24" ht="15.75" customHeight="1" x14ac:dyDescent="0.2">
      <c r="X368" s="2"/>
    </row>
    <row r="369" spans="24:24" ht="15.75" customHeight="1" x14ac:dyDescent="0.2">
      <c r="X369" s="2"/>
    </row>
    <row r="370" spans="24:24" ht="15.75" customHeight="1" x14ac:dyDescent="0.2">
      <c r="X370" s="2"/>
    </row>
    <row r="371" spans="24:24" ht="15.75" customHeight="1" x14ac:dyDescent="0.2">
      <c r="X371" s="2"/>
    </row>
    <row r="372" spans="24:24" ht="15.75" customHeight="1" x14ac:dyDescent="0.2">
      <c r="X372" s="2"/>
    </row>
    <row r="373" spans="24:24" ht="15.75" customHeight="1" x14ac:dyDescent="0.2">
      <c r="X373" s="2"/>
    </row>
    <row r="374" spans="24:24" ht="15.75" customHeight="1" x14ac:dyDescent="0.2">
      <c r="X374" s="2"/>
    </row>
    <row r="375" spans="24:24" ht="15.75" customHeight="1" x14ac:dyDescent="0.2">
      <c r="X375" s="2"/>
    </row>
    <row r="376" spans="24:24" ht="15.75" customHeight="1" x14ac:dyDescent="0.2">
      <c r="X376" s="2"/>
    </row>
    <row r="377" spans="24:24" ht="15.75" customHeight="1" x14ac:dyDescent="0.2">
      <c r="X377" s="2"/>
    </row>
    <row r="378" spans="24:24" ht="15.75" customHeight="1" x14ac:dyDescent="0.2">
      <c r="X378" s="2"/>
    </row>
    <row r="379" spans="24:24" ht="15.75" customHeight="1" x14ac:dyDescent="0.2">
      <c r="X379" s="2"/>
    </row>
    <row r="380" spans="24:24" ht="15.75" customHeight="1" x14ac:dyDescent="0.2">
      <c r="X380" s="2"/>
    </row>
    <row r="381" spans="24:24" ht="15.75" customHeight="1" x14ac:dyDescent="0.2">
      <c r="X381" s="2"/>
    </row>
    <row r="382" spans="24:24" ht="15.75" customHeight="1" x14ac:dyDescent="0.2">
      <c r="X382" s="2"/>
    </row>
    <row r="383" spans="24:24" ht="15.75" customHeight="1" x14ac:dyDescent="0.2">
      <c r="X383" s="2"/>
    </row>
    <row r="384" spans="24:24" ht="15.75" customHeight="1" x14ac:dyDescent="0.2">
      <c r="X384" s="2"/>
    </row>
    <row r="385" spans="24:24" ht="15.75" customHeight="1" x14ac:dyDescent="0.2">
      <c r="X385" s="2"/>
    </row>
    <row r="386" spans="24:24" ht="15.75" customHeight="1" x14ac:dyDescent="0.2">
      <c r="X386" s="2"/>
    </row>
    <row r="387" spans="24:24" ht="15.75" customHeight="1" x14ac:dyDescent="0.2">
      <c r="X387" s="2"/>
    </row>
    <row r="388" spans="24:24" ht="15.75" customHeight="1" x14ac:dyDescent="0.2">
      <c r="X388" s="2"/>
    </row>
    <row r="389" spans="24:24" ht="15.75" customHeight="1" x14ac:dyDescent="0.2">
      <c r="X389" s="2"/>
    </row>
    <row r="390" spans="24:24" ht="15.75" customHeight="1" x14ac:dyDescent="0.2">
      <c r="X390" s="2"/>
    </row>
    <row r="391" spans="24:24" ht="15.75" customHeight="1" x14ac:dyDescent="0.2">
      <c r="X391" s="2"/>
    </row>
    <row r="392" spans="24:24" ht="15.75" customHeight="1" x14ac:dyDescent="0.2">
      <c r="X392" s="2"/>
    </row>
    <row r="393" spans="24:24" ht="15.75" customHeight="1" x14ac:dyDescent="0.2">
      <c r="X393" s="2"/>
    </row>
    <row r="394" spans="24:24" ht="15.75" customHeight="1" x14ac:dyDescent="0.2">
      <c r="X394" s="2"/>
    </row>
    <row r="395" spans="24:24" ht="15.75" customHeight="1" x14ac:dyDescent="0.2">
      <c r="X395" s="2"/>
    </row>
    <row r="396" spans="24:24" ht="15.75" customHeight="1" x14ac:dyDescent="0.2">
      <c r="X396" s="2"/>
    </row>
    <row r="397" spans="24:24" ht="15.75" customHeight="1" x14ac:dyDescent="0.2">
      <c r="X397" s="2"/>
    </row>
    <row r="398" spans="24:24" ht="15.75" customHeight="1" x14ac:dyDescent="0.2">
      <c r="X398" s="2"/>
    </row>
    <row r="399" spans="24:24" ht="15.75" customHeight="1" x14ac:dyDescent="0.2">
      <c r="X399" s="2"/>
    </row>
    <row r="400" spans="24:24" ht="15.75" customHeight="1" x14ac:dyDescent="0.2">
      <c r="X400" s="2"/>
    </row>
    <row r="401" spans="24:24" ht="15.75" customHeight="1" x14ac:dyDescent="0.2">
      <c r="X401" s="2"/>
    </row>
    <row r="402" spans="24:24" ht="15.75" customHeight="1" x14ac:dyDescent="0.2">
      <c r="X402" s="2"/>
    </row>
    <row r="403" spans="24:24" ht="15.75" customHeight="1" x14ac:dyDescent="0.2">
      <c r="X403" s="2"/>
    </row>
    <row r="404" spans="24:24" ht="15.75" customHeight="1" x14ac:dyDescent="0.2">
      <c r="X404" s="2"/>
    </row>
    <row r="405" spans="24:24" ht="15.75" customHeight="1" x14ac:dyDescent="0.2">
      <c r="X405" s="2"/>
    </row>
    <row r="406" spans="24:24" ht="15.75" customHeight="1" x14ac:dyDescent="0.2">
      <c r="X406" s="2"/>
    </row>
    <row r="407" spans="24:24" ht="15.75" customHeight="1" x14ac:dyDescent="0.2">
      <c r="X407" s="2"/>
    </row>
    <row r="408" spans="24:24" ht="15.75" customHeight="1" x14ac:dyDescent="0.2">
      <c r="X408" s="2"/>
    </row>
    <row r="409" spans="24:24" ht="15.75" customHeight="1" x14ac:dyDescent="0.2">
      <c r="X409" s="2"/>
    </row>
    <row r="410" spans="24:24" ht="15.75" customHeight="1" x14ac:dyDescent="0.2">
      <c r="X410" s="2"/>
    </row>
    <row r="411" spans="24:24" ht="15.75" customHeight="1" x14ac:dyDescent="0.2">
      <c r="X411" s="2"/>
    </row>
    <row r="412" spans="24:24" ht="15.75" customHeight="1" x14ac:dyDescent="0.2">
      <c r="X412" s="2"/>
    </row>
    <row r="413" spans="24:24" ht="15.75" customHeight="1" x14ac:dyDescent="0.2">
      <c r="X413" s="2"/>
    </row>
    <row r="414" spans="24:24" ht="15.75" customHeight="1" x14ac:dyDescent="0.2">
      <c r="X414" s="2"/>
    </row>
    <row r="415" spans="24:24" ht="15.75" customHeight="1" x14ac:dyDescent="0.2">
      <c r="X415" s="2"/>
    </row>
    <row r="416" spans="24:24" ht="15.75" customHeight="1" x14ac:dyDescent="0.2">
      <c r="X416" s="2"/>
    </row>
    <row r="417" spans="24:24" ht="15.75" customHeight="1" x14ac:dyDescent="0.2">
      <c r="X417" s="2"/>
    </row>
    <row r="418" spans="24:24" ht="15.75" customHeight="1" x14ac:dyDescent="0.2">
      <c r="X418" s="2"/>
    </row>
    <row r="419" spans="24:24" ht="15.75" customHeight="1" x14ac:dyDescent="0.2">
      <c r="X419" s="2"/>
    </row>
    <row r="420" spans="24:24" ht="15.75" customHeight="1" x14ac:dyDescent="0.2">
      <c r="X420" s="2"/>
    </row>
    <row r="421" spans="24:24" ht="15.75" customHeight="1" x14ac:dyDescent="0.2">
      <c r="X421" s="2"/>
    </row>
    <row r="422" spans="24:24" ht="15.75" customHeight="1" x14ac:dyDescent="0.2">
      <c r="X422" s="2"/>
    </row>
    <row r="423" spans="24:24" ht="15.75" customHeight="1" x14ac:dyDescent="0.2">
      <c r="X423" s="2"/>
    </row>
    <row r="424" spans="24:24" ht="15.75" customHeight="1" x14ac:dyDescent="0.2">
      <c r="X424" s="2"/>
    </row>
    <row r="425" spans="24:24" ht="15.75" customHeight="1" x14ac:dyDescent="0.2">
      <c r="X425" s="2"/>
    </row>
    <row r="426" spans="24:24" ht="15.75" customHeight="1" x14ac:dyDescent="0.2">
      <c r="X426" s="2"/>
    </row>
    <row r="427" spans="24:24" ht="15.75" customHeight="1" x14ac:dyDescent="0.2">
      <c r="X427" s="2"/>
    </row>
    <row r="428" spans="24:24" ht="15.75" customHeight="1" x14ac:dyDescent="0.2">
      <c r="X428" s="2"/>
    </row>
    <row r="429" spans="24:24" ht="15.75" customHeight="1" x14ac:dyDescent="0.2">
      <c r="X429" s="2"/>
    </row>
    <row r="430" spans="24:24" ht="15.75" customHeight="1" x14ac:dyDescent="0.2">
      <c r="X430" s="2"/>
    </row>
    <row r="431" spans="24:24" ht="15.75" customHeight="1" x14ac:dyDescent="0.2">
      <c r="X431" s="2"/>
    </row>
    <row r="432" spans="24:24" ht="15.75" customHeight="1" x14ac:dyDescent="0.2">
      <c r="X432" s="2"/>
    </row>
    <row r="433" spans="24:24" ht="15.75" customHeight="1" x14ac:dyDescent="0.2">
      <c r="X433" s="2"/>
    </row>
    <row r="434" spans="24:24" ht="15.75" customHeight="1" x14ac:dyDescent="0.2">
      <c r="X434" s="2"/>
    </row>
    <row r="435" spans="24:24" ht="15.75" customHeight="1" x14ac:dyDescent="0.2">
      <c r="X435" s="2"/>
    </row>
    <row r="436" spans="24:24" ht="15.75" customHeight="1" x14ac:dyDescent="0.2">
      <c r="X436" s="2"/>
    </row>
    <row r="437" spans="24:24" ht="15.75" customHeight="1" x14ac:dyDescent="0.2">
      <c r="X437" s="2"/>
    </row>
    <row r="438" spans="24:24" ht="15.75" customHeight="1" x14ac:dyDescent="0.2">
      <c r="X438" s="2"/>
    </row>
    <row r="439" spans="24:24" ht="15.75" customHeight="1" x14ac:dyDescent="0.2">
      <c r="X439" s="2"/>
    </row>
    <row r="440" spans="24:24" ht="15.75" customHeight="1" x14ac:dyDescent="0.2">
      <c r="X440" s="2"/>
    </row>
    <row r="441" spans="24:24" ht="15.75" customHeight="1" x14ac:dyDescent="0.2">
      <c r="X441" s="2"/>
    </row>
    <row r="442" spans="24:24" ht="15.75" customHeight="1" x14ac:dyDescent="0.2">
      <c r="X442" s="2"/>
    </row>
    <row r="443" spans="24:24" ht="15.75" customHeight="1" x14ac:dyDescent="0.2">
      <c r="X443" s="2"/>
    </row>
    <row r="444" spans="24:24" ht="15.75" customHeight="1" x14ac:dyDescent="0.2">
      <c r="X444" s="2"/>
    </row>
    <row r="445" spans="24:24" ht="15.75" customHeight="1" x14ac:dyDescent="0.2">
      <c r="X445" s="2"/>
    </row>
    <row r="446" spans="24:24" ht="15.75" customHeight="1" x14ac:dyDescent="0.2">
      <c r="X446" s="2"/>
    </row>
    <row r="447" spans="24:24" ht="15.75" customHeight="1" x14ac:dyDescent="0.2">
      <c r="X447" s="2"/>
    </row>
    <row r="448" spans="24:24" ht="15.75" customHeight="1" x14ac:dyDescent="0.2">
      <c r="X448" s="2"/>
    </row>
    <row r="449" spans="24:24" ht="15.75" customHeight="1" x14ac:dyDescent="0.2">
      <c r="X449" s="2"/>
    </row>
    <row r="450" spans="24:24" ht="15.75" customHeight="1" x14ac:dyDescent="0.2">
      <c r="X450" s="2"/>
    </row>
    <row r="451" spans="24:24" ht="15.75" customHeight="1" x14ac:dyDescent="0.2">
      <c r="X451" s="2"/>
    </row>
    <row r="452" spans="24:24" ht="15.75" customHeight="1" x14ac:dyDescent="0.2">
      <c r="X452" s="2"/>
    </row>
    <row r="453" spans="24:24" ht="15.75" customHeight="1" x14ac:dyDescent="0.2">
      <c r="X453" s="2"/>
    </row>
    <row r="454" spans="24:24" ht="15.75" customHeight="1" x14ac:dyDescent="0.2">
      <c r="X454" s="2"/>
    </row>
    <row r="455" spans="24:24" ht="15.75" customHeight="1" x14ac:dyDescent="0.2">
      <c r="X455" s="2"/>
    </row>
    <row r="456" spans="24:24" ht="15.75" customHeight="1" x14ac:dyDescent="0.2">
      <c r="X456" s="2"/>
    </row>
    <row r="457" spans="24:24" ht="15.75" customHeight="1" x14ac:dyDescent="0.2">
      <c r="X457" s="2"/>
    </row>
    <row r="458" spans="24:24" ht="15.75" customHeight="1" x14ac:dyDescent="0.2">
      <c r="X458" s="2"/>
    </row>
    <row r="459" spans="24:24" ht="15.75" customHeight="1" x14ac:dyDescent="0.2">
      <c r="X459" s="2"/>
    </row>
    <row r="460" spans="24:24" ht="15.75" customHeight="1" x14ac:dyDescent="0.2">
      <c r="X460" s="2"/>
    </row>
    <row r="461" spans="24:24" ht="15.75" customHeight="1" x14ac:dyDescent="0.2">
      <c r="X461" s="2"/>
    </row>
    <row r="462" spans="24:24" ht="15.75" customHeight="1" x14ac:dyDescent="0.2">
      <c r="X462" s="2"/>
    </row>
    <row r="463" spans="24:24" ht="15.75" customHeight="1" x14ac:dyDescent="0.2">
      <c r="X463" s="2"/>
    </row>
    <row r="464" spans="24:24" ht="15.75" customHeight="1" x14ac:dyDescent="0.2">
      <c r="X464" s="2"/>
    </row>
    <row r="465" spans="24:24" ht="15.75" customHeight="1" x14ac:dyDescent="0.2">
      <c r="X465" s="2"/>
    </row>
    <row r="466" spans="24:24" ht="15.75" customHeight="1" x14ac:dyDescent="0.2">
      <c r="X466" s="2"/>
    </row>
    <row r="467" spans="24:24" ht="15.75" customHeight="1" x14ac:dyDescent="0.2">
      <c r="X467" s="2"/>
    </row>
    <row r="468" spans="24:24" ht="15.75" customHeight="1" x14ac:dyDescent="0.2">
      <c r="X468" s="2"/>
    </row>
    <row r="469" spans="24:24" ht="15.75" customHeight="1" x14ac:dyDescent="0.2">
      <c r="X469" s="2"/>
    </row>
    <row r="470" spans="24:24" ht="15.75" customHeight="1" x14ac:dyDescent="0.2">
      <c r="X470" s="2"/>
    </row>
    <row r="471" spans="24:24" ht="15.75" customHeight="1" x14ac:dyDescent="0.2">
      <c r="X471" s="2"/>
    </row>
    <row r="472" spans="24:24" ht="15.75" customHeight="1" x14ac:dyDescent="0.2">
      <c r="X472" s="2"/>
    </row>
    <row r="473" spans="24:24" ht="15.75" customHeight="1" x14ac:dyDescent="0.2">
      <c r="X473" s="2"/>
    </row>
    <row r="474" spans="24:24" ht="15.75" customHeight="1" x14ac:dyDescent="0.2">
      <c r="X474" s="2"/>
    </row>
    <row r="475" spans="24:24" ht="15.75" customHeight="1" x14ac:dyDescent="0.2">
      <c r="X475" s="2"/>
    </row>
    <row r="476" spans="24:24" ht="15.75" customHeight="1" x14ac:dyDescent="0.2">
      <c r="X476" s="2"/>
    </row>
    <row r="477" spans="24:24" ht="15.75" customHeight="1" x14ac:dyDescent="0.2">
      <c r="X477" s="2"/>
    </row>
    <row r="478" spans="24:24" ht="15.75" customHeight="1" x14ac:dyDescent="0.2">
      <c r="X478" s="2"/>
    </row>
    <row r="479" spans="24:24" ht="15.75" customHeight="1" x14ac:dyDescent="0.2">
      <c r="X479" s="2"/>
    </row>
    <row r="480" spans="24:24" ht="15.75" customHeight="1" x14ac:dyDescent="0.2">
      <c r="X480" s="2"/>
    </row>
    <row r="481" spans="24:24" ht="15.75" customHeight="1" x14ac:dyDescent="0.2">
      <c r="X481" s="2"/>
    </row>
    <row r="482" spans="24:24" ht="15.75" customHeight="1" x14ac:dyDescent="0.2">
      <c r="X482" s="2"/>
    </row>
    <row r="483" spans="24:24" ht="15.75" customHeight="1" x14ac:dyDescent="0.2">
      <c r="X483" s="2"/>
    </row>
    <row r="484" spans="24:24" ht="15.75" customHeight="1" x14ac:dyDescent="0.2">
      <c r="X484" s="2"/>
    </row>
    <row r="485" spans="24:24" ht="15.75" customHeight="1" x14ac:dyDescent="0.2">
      <c r="X485" s="2"/>
    </row>
    <row r="486" spans="24:24" ht="15.75" customHeight="1" x14ac:dyDescent="0.2">
      <c r="X486" s="2"/>
    </row>
    <row r="487" spans="24:24" ht="15.75" customHeight="1" x14ac:dyDescent="0.2">
      <c r="X487" s="2"/>
    </row>
    <row r="488" spans="24:24" ht="15.75" customHeight="1" x14ac:dyDescent="0.2">
      <c r="X488" s="2"/>
    </row>
    <row r="489" spans="24:24" ht="15.75" customHeight="1" x14ac:dyDescent="0.2">
      <c r="X489" s="2"/>
    </row>
    <row r="490" spans="24:24" ht="15.75" customHeight="1" x14ac:dyDescent="0.2">
      <c r="X490" s="2"/>
    </row>
    <row r="491" spans="24:24" ht="15.75" customHeight="1" x14ac:dyDescent="0.2">
      <c r="X491" s="2"/>
    </row>
    <row r="492" spans="24:24" ht="15.75" customHeight="1" x14ac:dyDescent="0.2">
      <c r="X492" s="2"/>
    </row>
    <row r="493" spans="24:24" ht="15.75" customHeight="1" x14ac:dyDescent="0.2">
      <c r="X493" s="2"/>
    </row>
    <row r="494" spans="24:24" ht="15.75" customHeight="1" x14ac:dyDescent="0.2">
      <c r="X494" s="2"/>
    </row>
    <row r="495" spans="24:24" ht="15.75" customHeight="1" x14ac:dyDescent="0.2">
      <c r="X495" s="2"/>
    </row>
    <row r="496" spans="24:24" ht="15.75" customHeight="1" x14ac:dyDescent="0.2">
      <c r="X496" s="2"/>
    </row>
    <row r="497" spans="24:24" ht="15.75" customHeight="1" x14ac:dyDescent="0.2">
      <c r="X497" s="2"/>
    </row>
    <row r="498" spans="24:24" ht="15.75" customHeight="1" x14ac:dyDescent="0.2">
      <c r="X498" s="2"/>
    </row>
    <row r="499" spans="24:24" ht="15.75" customHeight="1" x14ac:dyDescent="0.2">
      <c r="X499" s="2"/>
    </row>
    <row r="500" spans="24:24" ht="15.75" customHeight="1" x14ac:dyDescent="0.2">
      <c r="X500" s="2"/>
    </row>
    <row r="501" spans="24:24" ht="15.75" customHeight="1" x14ac:dyDescent="0.2">
      <c r="X501" s="2"/>
    </row>
    <row r="502" spans="24:24" ht="15.75" customHeight="1" x14ac:dyDescent="0.2">
      <c r="X502" s="2"/>
    </row>
    <row r="503" spans="24:24" ht="15.75" customHeight="1" x14ac:dyDescent="0.2">
      <c r="X503" s="2"/>
    </row>
    <row r="504" spans="24:24" ht="15.75" customHeight="1" x14ac:dyDescent="0.2">
      <c r="X504" s="2"/>
    </row>
    <row r="505" spans="24:24" ht="15.75" customHeight="1" x14ac:dyDescent="0.2">
      <c r="X505" s="2"/>
    </row>
    <row r="506" spans="24:24" ht="15.75" customHeight="1" x14ac:dyDescent="0.2">
      <c r="X506" s="2"/>
    </row>
    <row r="507" spans="24:24" ht="15.75" customHeight="1" x14ac:dyDescent="0.2">
      <c r="X507" s="2"/>
    </row>
    <row r="508" spans="24:24" ht="15.75" customHeight="1" x14ac:dyDescent="0.2">
      <c r="X508" s="2"/>
    </row>
    <row r="509" spans="24:24" ht="15.75" customHeight="1" x14ac:dyDescent="0.2">
      <c r="X509" s="2"/>
    </row>
    <row r="510" spans="24:24" ht="15.75" customHeight="1" x14ac:dyDescent="0.2">
      <c r="X510" s="2"/>
    </row>
    <row r="511" spans="24:24" ht="15.75" customHeight="1" x14ac:dyDescent="0.2">
      <c r="X511" s="2"/>
    </row>
    <row r="512" spans="24:24" ht="15.75" customHeight="1" x14ac:dyDescent="0.2">
      <c r="X512" s="2"/>
    </row>
    <row r="513" spans="24:24" ht="15.75" customHeight="1" x14ac:dyDescent="0.2">
      <c r="X513" s="2"/>
    </row>
    <row r="514" spans="24:24" ht="15.75" customHeight="1" x14ac:dyDescent="0.2">
      <c r="X514" s="2"/>
    </row>
    <row r="515" spans="24:24" ht="15.75" customHeight="1" x14ac:dyDescent="0.2">
      <c r="X515" s="2"/>
    </row>
    <row r="516" spans="24:24" ht="15.75" customHeight="1" x14ac:dyDescent="0.2">
      <c r="X516" s="2"/>
    </row>
    <row r="517" spans="24:24" ht="15.75" customHeight="1" x14ac:dyDescent="0.2">
      <c r="X517" s="2"/>
    </row>
    <row r="518" spans="24:24" ht="15.75" customHeight="1" x14ac:dyDescent="0.2">
      <c r="X518" s="2"/>
    </row>
    <row r="519" spans="24:24" ht="15.75" customHeight="1" x14ac:dyDescent="0.2">
      <c r="X519" s="2"/>
    </row>
    <row r="520" spans="24:24" ht="15.75" customHeight="1" x14ac:dyDescent="0.2">
      <c r="X520" s="2"/>
    </row>
    <row r="521" spans="24:24" ht="15.75" customHeight="1" x14ac:dyDescent="0.2">
      <c r="X521" s="2"/>
    </row>
    <row r="522" spans="24:24" ht="15.75" customHeight="1" x14ac:dyDescent="0.2">
      <c r="X522" s="2"/>
    </row>
    <row r="523" spans="24:24" ht="15.75" customHeight="1" x14ac:dyDescent="0.2">
      <c r="X523" s="2"/>
    </row>
    <row r="524" spans="24:24" ht="15.75" customHeight="1" x14ac:dyDescent="0.2">
      <c r="X524" s="2"/>
    </row>
    <row r="525" spans="24:24" ht="15.75" customHeight="1" x14ac:dyDescent="0.2">
      <c r="X525" s="2"/>
    </row>
    <row r="526" spans="24:24" ht="15.75" customHeight="1" x14ac:dyDescent="0.2">
      <c r="X526" s="2"/>
    </row>
    <row r="527" spans="24:24" ht="15.75" customHeight="1" x14ac:dyDescent="0.2">
      <c r="X527" s="2"/>
    </row>
    <row r="528" spans="24:24" ht="15.75" customHeight="1" x14ac:dyDescent="0.2">
      <c r="X528" s="2"/>
    </row>
    <row r="529" spans="24:24" ht="15.75" customHeight="1" x14ac:dyDescent="0.2">
      <c r="X529" s="2"/>
    </row>
    <row r="530" spans="24:24" ht="15.75" customHeight="1" x14ac:dyDescent="0.2">
      <c r="X530" s="2"/>
    </row>
    <row r="531" spans="24:24" ht="15.75" customHeight="1" x14ac:dyDescent="0.2">
      <c r="X531" s="2"/>
    </row>
    <row r="532" spans="24:24" ht="15.75" customHeight="1" x14ac:dyDescent="0.2">
      <c r="X532" s="2"/>
    </row>
    <row r="533" spans="24:24" ht="15.75" customHeight="1" x14ac:dyDescent="0.2">
      <c r="X533" s="2"/>
    </row>
    <row r="534" spans="24:24" ht="15.75" customHeight="1" x14ac:dyDescent="0.2">
      <c r="X534" s="2"/>
    </row>
    <row r="535" spans="24:24" ht="15.75" customHeight="1" x14ac:dyDescent="0.2">
      <c r="X535" s="2"/>
    </row>
    <row r="536" spans="24:24" ht="15.75" customHeight="1" x14ac:dyDescent="0.2">
      <c r="X536" s="2"/>
    </row>
    <row r="537" spans="24:24" ht="15.75" customHeight="1" x14ac:dyDescent="0.2">
      <c r="X537" s="2"/>
    </row>
    <row r="538" spans="24:24" ht="15.75" customHeight="1" x14ac:dyDescent="0.2">
      <c r="X538" s="2"/>
    </row>
    <row r="539" spans="24:24" ht="15.75" customHeight="1" x14ac:dyDescent="0.2">
      <c r="X539" s="2"/>
    </row>
    <row r="540" spans="24:24" ht="15.75" customHeight="1" x14ac:dyDescent="0.2">
      <c r="X540" s="2"/>
    </row>
    <row r="541" spans="24:24" ht="15.75" customHeight="1" x14ac:dyDescent="0.2">
      <c r="X541" s="2"/>
    </row>
    <row r="542" spans="24:24" ht="15.75" customHeight="1" x14ac:dyDescent="0.2">
      <c r="X542" s="2"/>
    </row>
    <row r="543" spans="24:24" ht="15.75" customHeight="1" x14ac:dyDescent="0.2">
      <c r="X543" s="2"/>
    </row>
    <row r="544" spans="24:24" ht="15.75" customHeight="1" x14ac:dyDescent="0.2">
      <c r="X544" s="2"/>
    </row>
    <row r="545" spans="24:24" ht="15.75" customHeight="1" x14ac:dyDescent="0.2">
      <c r="X545" s="2"/>
    </row>
    <row r="546" spans="24:24" ht="15.75" customHeight="1" x14ac:dyDescent="0.2">
      <c r="X546" s="2"/>
    </row>
    <row r="547" spans="24:24" ht="15.75" customHeight="1" x14ac:dyDescent="0.2">
      <c r="X547" s="2"/>
    </row>
    <row r="548" spans="24:24" ht="15.75" customHeight="1" x14ac:dyDescent="0.2">
      <c r="X548" s="2"/>
    </row>
    <row r="549" spans="24:24" ht="15.75" customHeight="1" x14ac:dyDescent="0.2">
      <c r="X549" s="2"/>
    </row>
    <row r="550" spans="24:24" ht="15.75" customHeight="1" x14ac:dyDescent="0.2">
      <c r="X550" s="2"/>
    </row>
    <row r="551" spans="24:24" ht="15.75" customHeight="1" x14ac:dyDescent="0.2">
      <c r="X551" s="2"/>
    </row>
    <row r="552" spans="24:24" ht="15.75" customHeight="1" x14ac:dyDescent="0.2">
      <c r="X552" s="2"/>
    </row>
    <row r="553" spans="24:24" ht="15.75" customHeight="1" x14ac:dyDescent="0.2">
      <c r="X553" s="2"/>
    </row>
    <row r="554" spans="24:24" ht="15.75" customHeight="1" x14ac:dyDescent="0.2">
      <c r="X554" s="2"/>
    </row>
    <row r="555" spans="24:24" ht="15.75" customHeight="1" x14ac:dyDescent="0.2">
      <c r="X555" s="2"/>
    </row>
    <row r="556" spans="24:24" ht="15.75" customHeight="1" x14ac:dyDescent="0.2">
      <c r="X556" s="2"/>
    </row>
    <row r="557" spans="24:24" ht="15.75" customHeight="1" x14ac:dyDescent="0.2">
      <c r="X557" s="2"/>
    </row>
    <row r="558" spans="24:24" ht="15.75" customHeight="1" x14ac:dyDescent="0.2">
      <c r="X558" s="2"/>
    </row>
    <row r="559" spans="24:24" ht="15.75" customHeight="1" x14ac:dyDescent="0.2">
      <c r="X559" s="2"/>
    </row>
    <row r="560" spans="24:24" ht="15.75" customHeight="1" x14ac:dyDescent="0.2">
      <c r="X560" s="2"/>
    </row>
    <row r="561" spans="24:24" ht="15.75" customHeight="1" x14ac:dyDescent="0.2">
      <c r="X561" s="2"/>
    </row>
    <row r="562" spans="24:24" ht="15.75" customHeight="1" x14ac:dyDescent="0.2">
      <c r="X562" s="2"/>
    </row>
    <row r="563" spans="24:24" ht="15.75" customHeight="1" x14ac:dyDescent="0.2">
      <c r="X563" s="2"/>
    </row>
    <row r="564" spans="24:24" ht="15.75" customHeight="1" x14ac:dyDescent="0.2">
      <c r="X564" s="2"/>
    </row>
    <row r="565" spans="24:24" ht="15.75" customHeight="1" x14ac:dyDescent="0.2">
      <c r="X565" s="2"/>
    </row>
    <row r="566" spans="24:24" ht="15.75" customHeight="1" x14ac:dyDescent="0.2">
      <c r="X566" s="2"/>
    </row>
    <row r="567" spans="24:24" ht="15.75" customHeight="1" x14ac:dyDescent="0.2">
      <c r="X567" s="2"/>
    </row>
    <row r="568" spans="24:24" ht="15.75" customHeight="1" x14ac:dyDescent="0.2">
      <c r="X568" s="2"/>
    </row>
    <row r="569" spans="24:24" ht="15.75" customHeight="1" x14ac:dyDescent="0.2">
      <c r="X569" s="2"/>
    </row>
    <row r="570" spans="24:24" ht="15.75" customHeight="1" x14ac:dyDescent="0.2">
      <c r="X570" s="2"/>
    </row>
    <row r="571" spans="24:24" ht="15.75" customHeight="1" x14ac:dyDescent="0.2">
      <c r="X571" s="2"/>
    </row>
    <row r="572" spans="24:24" ht="15.75" customHeight="1" x14ac:dyDescent="0.2">
      <c r="X572" s="2"/>
    </row>
    <row r="573" spans="24:24" ht="15.75" customHeight="1" x14ac:dyDescent="0.2">
      <c r="X573" s="2"/>
    </row>
    <row r="574" spans="24:24" ht="15.75" customHeight="1" x14ac:dyDescent="0.2">
      <c r="X574" s="2"/>
    </row>
    <row r="575" spans="24:24" ht="15.75" customHeight="1" x14ac:dyDescent="0.2">
      <c r="X575" s="2"/>
    </row>
    <row r="576" spans="24:24" ht="15.75" customHeight="1" x14ac:dyDescent="0.2">
      <c r="X576" s="2"/>
    </row>
    <row r="577" spans="24:24" ht="15.75" customHeight="1" x14ac:dyDescent="0.2">
      <c r="X577" s="2"/>
    </row>
    <row r="578" spans="24:24" ht="15.75" customHeight="1" x14ac:dyDescent="0.2">
      <c r="X578" s="2"/>
    </row>
    <row r="579" spans="24:24" ht="15.75" customHeight="1" x14ac:dyDescent="0.2">
      <c r="X579" s="2"/>
    </row>
    <row r="580" spans="24:24" ht="15.75" customHeight="1" x14ac:dyDescent="0.2">
      <c r="X580" s="2"/>
    </row>
    <row r="581" spans="24:24" ht="15.75" customHeight="1" x14ac:dyDescent="0.2">
      <c r="X581" s="2"/>
    </row>
    <row r="582" spans="24:24" ht="15.75" customHeight="1" x14ac:dyDescent="0.2">
      <c r="X582" s="2"/>
    </row>
    <row r="583" spans="24:24" ht="15.75" customHeight="1" x14ac:dyDescent="0.2">
      <c r="X583" s="2"/>
    </row>
    <row r="584" spans="24:24" ht="15.75" customHeight="1" x14ac:dyDescent="0.2">
      <c r="X584" s="2"/>
    </row>
    <row r="585" spans="24:24" ht="15.75" customHeight="1" x14ac:dyDescent="0.2">
      <c r="X585" s="2"/>
    </row>
    <row r="586" spans="24:24" ht="15.75" customHeight="1" x14ac:dyDescent="0.2">
      <c r="X586" s="2"/>
    </row>
    <row r="587" spans="24:24" ht="15.75" customHeight="1" x14ac:dyDescent="0.2">
      <c r="X587" s="2"/>
    </row>
    <row r="588" spans="24:24" ht="15.75" customHeight="1" x14ac:dyDescent="0.2">
      <c r="X588" s="2"/>
    </row>
    <row r="589" spans="24:24" ht="15.75" customHeight="1" x14ac:dyDescent="0.2">
      <c r="X589" s="2"/>
    </row>
    <row r="590" spans="24:24" ht="15.75" customHeight="1" x14ac:dyDescent="0.2">
      <c r="X590" s="2"/>
    </row>
    <row r="591" spans="24:24" ht="15.75" customHeight="1" x14ac:dyDescent="0.2">
      <c r="X591" s="2"/>
    </row>
    <row r="592" spans="24:24" ht="15.75" customHeight="1" x14ac:dyDescent="0.2">
      <c r="X592" s="2"/>
    </row>
    <row r="593" spans="24:24" ht="15.75" customHeight="1" x14ac:dyDescent="0.2">
      <c r="X593" s="2"/>
    </row>
    <row r="594" spans="24:24" ht="15.75" customHeight="1" x14ac:dyDescent="0.2">
      <c r="X594" s="2"/>
    </row>
    <row r="595" spans="24:24" ht="15.75" customHeight="1" x14ac:dyDescent="0.2">
      <c r="X595" s="2"/>
    </row>
    <row r="596" spans="24:24" ht="15.75" customHeight="1" x14ac:dyDescent="0.2">
      <c r="X596" s="2"/>
    </row>
    <row r="597" spans="24:24" ht="15.75" customHeight="1" x14ac:dyDescent="0.2">
      <c r="X597" s="2"/>
    </row>
    <row r="598" spans="24:24" ht="15.75" customHeight="1" x14ac:dyDescent="0.2">
      <c r="X598" s="2"/>
    </row>
    <row r="599" spans="24:24" ht="15.75" customHeight="1" x14ac:dyDescent="0.2">
      <c r="X599" s="2"/>
    </row>
    <row r="600" spans="24:24" ht="15.75" customHeight="1" x14ac:dyDescent="0.2">
      <c r="X600" s="2"/>
    </row>
    <row r="601" spans="24:24" ht="15.75" customHeight="1" x14ac:dyDescent="0.2">
      <c r="X601" s="2"/>
    </row>
    <row r="602" spans="24:24" ht="15.75" customHeight="1" x14ac:dyDescent="0.2">
      <c r="X602" s="2"/>
    </row>
    <row r="603" spans="24:24" ht="15.75" customHeight="1" x14ac:dyDescent="0.2">
      <c r="X603" s="2"/>
    </row>
    <row r="604" spans="24:24" ht="15.75" customHeight="1" x14ac:dyDescent="0.2">
      <c r="X604" s="2"/>
    </row>
    <row r="605" spans="24:24" ht="15.75" customHeight="1" x14ac:dyDescent="0.2">
      <c r="X605" s="2"/>
    </row>
    <row r="606" spans="24:24" ht="15.75" customHeight="1" x14ac:dyDescent="0.2">
      <c r="X606" s="2"/>
    </row>
    <row r="607" spans="24:24" ht="15.75" customHeight="1" x14ac:dyDescent="0.2">
      <c r="X607" s="2"/>
    </row>
    <row r="608" spans="24:24" ht="15.75" customHeight="1" x14ac:dyDescent="0.2">
      <c r="X608" s="2"/>
    </row>
    <row r="609" spans="24:24" ht="15.75" customHeight="1" x14ac:dyDescent="0.2">
      <c r="X609" s="2"/>
    </row>
    <row r="610" spans="24:24" ht="15.75" customHeight="1" x14ac:dyDescent="0.2">
      <c r="X610" s="2"/>
    </row>
    <row r="611" spans="24:24" ht="15.75" customHeight="1" x14ac:dyDescent="0.2">
      <c r="X611" s="2"/>
    </row>
    <row r="612" spans="24:24" ht="15.75" customHeight="1" x14ac:dyDescent="0.2">
      <c r="X612" s="2"/>
    </row>
    <row r="613" spans="24:24" ht="15.75" customHeight="1" x14ac:dyDescent="0.2">
      <c r="X613" s="2"/>
    </row>
    <row r="614" spans="24:24" ht="15.75" customHeight="1" x14ac:dyDescent="0.2">
      <c r="X614" s="2"/>
    </row>
    <row r="615" spans="24:24" ht="15.75" customHeight="1" x14ac:dyDescent="0.2">
      <c r="X615" s="2"/>
    </row>
    <row r="616" spans="24:24" ht="15.75" customHeight="1" x14ac:dyDescent="0.2">
      <c r="X616" s="2"/>
    </row>
    <row r="617" spans="24:24" ht="15.75" customHeight="1" x14ac:dyDescent="0.2">
      <c r="X617" s="2"/>
    </row>
    <row r="618" spans="24:24" ht="15.75" customHeight="1" x14ac:dyDescent="0.2">
      <c r="X618" s="2"/>
    </row>
    <row r="619" spans="24:24" ht="15.75" customHeight="1" x14ac:dyDescent="0.2">
      <c r="X619" s="2"/>
    </row>
    <row r="620" spans="24:24" ht="15.75" customHeight="1" x14ac:dyDescent="0.2">
      <c r="X620" s="2"/>
    </row>
    <row r="621" spans="24:24" ht="15.75" customHeight="1" x14ac:dyDescent="0.2">
      <c r="X621" s="2"/>
    </row>
    <row r="622" spans="24:24" ht="15.75" customHeight="1" x14ac:dyDescent="0.2">
      <c r="X622" s="2"/>
    </row>
    <row r="623" spans="24:24" ht="15.75" customHeight="1" x14ac:dyDescent="0.2">
      <c r="X623" s="2"/>
    </row>
    <row r="624" spans="24:24" ht="15.75" customHeight="1" x14ac:dyDescent="0.2">
      <c r="X624" s="2"/>
    </row>
    <row r="625" spans="24:24" ht="15.75" customHeight="1" x14ac:dyDescent="0.2">
      <c r="X625" s="2"/>
    </row>
    <row r="626" spans="24:24" ht="15.75" customHeight="1" x14ac:dyDescent="0.2">
      <c r="X626" s="2"/>
    </row>
    <row r="627" spans="24:24" ht="15.75" customHeight="1" x14ac:dyDescent="0.2">
      <c r="X627" s="2"/>
    </row>
    <row r="628" spans="24:24" ht="15.75" customHeight="1" x14ac:dyDescent="0.2">
      <c r="X628" s="2"/>
    </row>
    <row r="629" spans="24:24" ht="15.75" customHeight="1" x14ac:dyDescent="0.2">
      <c r="X629" s="2"/>
    </row>
    <row r="630" spans="24:24" ht="15.75" customHeight="1" x14ac:dyDescent="0.2">
      <c r="X630" s="2"/>
    </row>
    <row r="631" spans="24:24" ht="15.75" customHeight="1" x14ac:dyDescent="0.2">
      <c r="X631" s="2"/>
    </row>
    <row r="632" spans="24:24" ht="15.75" customHeight="1" x14ac:dyDescent="0.2">
      <c r="X632" s="2"/>
    </row>
    <row r="633" spans="24:24" ht="15.75" customHeight="1" x14ac:dyDescent="0.2">
      <c r="X633" s="2"/>
    </row>
    <row r="634" spans="24:24" ht="15.75" customHeight="1" x14ac:dyDescent="0.2">
      <c r="X634" s="2"/>
    </row>
    <row r="635" spans="24:24" ht="15.75" customHeight="1" x14ac:dyDescent="0.2">
      <c r="X635" s="2"/>
    </row>
    <row r="636" spans="24:24" ht="15.75" customHeight="1" x14ac:dyDescent="0.2">
      <c r="X636" s="2"/>
    </row>
    <row r="637" spans="24:24" ht="15.75" customHeight="1" x14ac:dyDescent="0.2">
      <c r="X637" s="2"/>
    </row>
    <row r="638" spans="24:24" ht="15.75" customHeight="1" x14ac:dyDescent="0.2">
      <c r="X638" s="2"/>
    </row>
    <row r="639" spans="24:24" ht="15.75" customHeight="1" x14ac:dyDescent="0.2">
      <c r="X639" s="2"/>
    </row>
    <row r="640" spans="24:24" ht="15.75" customHeight="1" x14ac:dyDescent="0.2">
      <c r="X640" s="2"/>
    </row>
    <row r="641" spans="24:24" ht="15.75" customHeight="1" x14ac:dyDescent="0.2">
      <c r="X641" s="2"/>
    </row>
    <row r="642" spans="24:24" ht="15.75" customHeight="1" x14ac:dyDescent="0.2">
      <c r="X642" s="2"/>
    </row>
    <row r="643" spans="24:24" ht="15.75" customHeight="1" x14ac:dyDescent="0.2">
      <c r="X643" s="2"/>
    </row>
    <row r="644" spans="24:24" ht="15.75" customHeight="1" x14ac:dyDescent="0.2">
      <c r="X644" s="2"/>
    </row>
    <row r="645" spans="24:24" ht="15.75" customHeight="1" x14ac:dyDescent="0.2">
      <c r="X645" s="2"/>
    </row>
    <row r="646" spans="24:24" ht="15.75" customHeight="1" x14ac:dyDescent="0.2">
      <c r="X646" s="2"/>
    </row>
    <row r="647" spans="24:24" ht="15.75" customHeight="1" x14ac:dyDescent="0.2">
      <c r="X647" s="2"/>
    </row>
    <row r="648" spans="24:24" ht="15.75" customHeight="1" x14ac:dyDescent="0.2">
      <c r="X648" s="2"/>
    </row>
    <row r="649" spans="24:24" ht="15.75" customHeight="1" x14ac:dyDescent="0.2">
      <c r="X649" s="2"/>
    </row>
    <row r="650" spans="24:24" ht="15.75" customHeight="1" x14ac:dyDescent="0.2">
      <c r="X650" s="2"/>
    </row>
    <row r="651" spans="24:24" ht="15.75" customHeight="1" x14ac:dyDescent="0.2">
      <c r="X651" s="2"/>
    </row>
    <row r="652" spans="24:24" ht="15.75" customHeight="1" x14ac:dyDescent="0.2">
      <c r="X652" s="2"/>
    </row>
    <row r="653" spans="24:24" ht="15.75" customHeight="1" x14ac:dyDescent="0.2">
      <c r="X653" s="2"/>
    </row>
    <row r="654" spans="24:24" ht="15.75" customHeight="1" x14ac:dyDescent="0.2">
      <c r="X654" s="2"/>
    </row>
    <row r="655" spans="24:24" ht="15.75" customHeight="1" x14ac:dyDescent="0.2">
      <c r="X655" s="2"/>
    </row>
    <row r="656" spans="24:24" ht="15.75" customHeight="1" x14ac:dyDescent="0.2">
      <c r="X656" s="2"/>
    </row>
    <row r="657" spans="24:24" ht="15.75" customHeight="1" x14ac:dyDescent="0.2">
      <c r="X657" s="2"/>
    </row>
    <row r="658" spans="24:24" ht="15.75" customHeight="1" x14ac:dyDescent="0.2">
      <c r="X658" s="2"/>
    </row>
    <row r="659" spans="24:24" ht="15.75" customHeight="1" x14ac:dyDescent="0.2">
      <c r="X659" s="2"/>
    </row>
    <row r="660" spans="24:24" ht="15.75" customHeight="1" x14ac:dyDescent="0.2">
      <c r="X660" s="2"/>
    </row>
    <row r="661" spans="24:24" ht="15.75" customHeight="1" x14ac:dyDescent="0.2">
      <c r="X661" s="2"/>
    </row>
    <row r="662" spans="24:24" ht="15.75" customHeight="1" x14ac:dyDescent="0.2">
      <c r="X662" s="2"/>
    </row>
    <row r="663" spans="24:24" ht="15.75" customHeight="1" x14ac:dyDescent="0.2">
      <c r="X663" s="2"/>
    </row>
    <row r="664" spans="24:24" ht="15.75" customHeight="1" x14ac:dyDescent="0.2">
      <c r="X664" s="2"/>
    </row>
    <row r="665" spans="24:24" ht="15.75" customHeight="1" x14ac:dyDescent="0.2">
      <c r="X665" s="2"/>
    </row>
    <row r="666" spans="24:24" ht="15.75" customHeight="1" x14ac:dyDescent="0.2">
      <c r="X666" s="2"/>
    </row>
    <row r="667" spans="24:24" ht="15.75" customHeight="1" x14ac:dyDescent="0.2">
      <c r="X667" s="2"/>
    </row>
    <row r="668" spans="24:24" ht="15.75" customHeight="1" x14ac:dyDescent="0.2">
      <c r="X668" s="2"/>
    </row>
    <row r="669" spans="24:24" ht="15.75" customHeight="1" x14ac:dyDescent="0.2">
      <c r="X669" s="2"/>
    </row>
    <row r="670" spans="24:24" ht="15.75" customHeight="1" x14ac:dyDescent="0.2">
      <c r="X670" s="2"/>
    </row>
    <row r="671" spans="24:24" ht="15.75" customHeight="1" x14ac:dyDescent="0.2">
      <c r="X671" s="2"/>
    </row>
    <row r="672" spans="24:24" ht="15.75" customHeight="1" x14ac:dyDescent="0.2">
      <c r="X672" s="2"/>
    </row>
    <row r="673" spans="24:24" ht="15.75" customHeight="1" x14ac:dyDescent="0.2">
      <c r="X673" s="2"/>
    </row>
    <row r="674" spans="24:24" ht="15.75" customHeight="1" x14ac:dyDescent="0.2">
      <c r="X674" s="2"/>
    </row>
    <row r="675" spans="24:24" ht="15.75" customHeight="1" x14ac:dyDescent="0.2">
      <c r="X675" s="2"/>
    </row>
    <row r="676" spans="24:24" ht="15.75" customHeight="1" x14ac:dyDescent="0.2">
      <c r="X676" s="2"/>
    </row>
    <row r="677" spans="24:24" ht="15.75" customHeight="1" x14ac:dyDescent="0.2">
      <c r="X677" s="2"/>
    </row>
    <row r="678" spans="24:24" ht="15.75" customHeight="1" x14ac:dyDescent="0.2">
      <c r="X678" s="2"/>
    </row>
    <row r="679" spans="24:24" ht="15.75" customHeight="1" x14ac:dyDescent="0.2">
      <c r="X679" s="2"/>
    </row>
    <row r="680" spans="24:24" ht="15.75" customHeight="1" x14ac:dyDescent="0.2">
      <c r="X680" s="2"/>
    </row>
    <row r="681" spans="24:24" ht="15.75" customHeight="1" x14ac:dyDescent="0.2">
      <c r="X681" s="2"/>
    </row>
    <row r="682" spans="24:24" ht="15.75" customHeight="1" x14ac:dyDescent="0.2">
      <c r="X682" s="2"/>
    </row>
    <row r="683" spans="24:24" ht="15.75" customHeight="1" x14ac:dyDescent="0.2">
      <c r="X683" s="2"/>
    </row>
    <row r="684" spans="24:24" ht="15.75" customHeight="1" x14ac:dyDescent="0.2">
      <c r="X684" s="2"/>
    </row>
    <row r="685" spans="24:24" ht="15.75" customHeight="1" x14ac:dyDescent="0.2">
      <c r="X685" s="2"/>
    </row>
    <row r="686" spans="24:24" ht="15.75" customHeight="1" x14ac:dyDescent="0.2">
      <c r="X686" s="2"/>
    </row>
    <row r="687" spans="24:24" ht="15.75" customHeight="1" x14ac:dyDescent="0.2">
      <c r="X687" s="2"/>
    </row>
    <row r="688" spans="24:24" ht="15.75" customHeight="1" x14ac:dyDescent="0.2">
      <c r="X688" s="2"/>
    </row>
    <row r="689" spans="24:24" ht="15.75" customHeight="1" x14ac:dyDescent="0.2">
      <c r="X689" s="2"/>
    </row>
    <row r="690" spans="24:24" ht="15.75" customHeight="1" x14ac:dyDescent="0.2">
      <c r="X690" s="2"/>
    </row>
    <row r="691" spans="24:24" ht="15.75" customHeight="1" x14ac:dyDescent="0.2">
      <c r="X691" s="2"/>
    </row>
    <row r="692" spans="24:24" ht="15.75" customHeight="1" x14ac:dyDescent="0.2">
      <c r="X692" s="2"/>
    </row>
    <row r="693" spans="24:24" ht="15.75" customHeight="1" x14ac:dyDescent="0.2">
      <c r="X693" s="2"/>
    </row>
    <row r="694" spans="24:24" ht="15.75" customHeight="1" x14ac:dyDescent="0.2">
      <c r="X694" s="2"/>
    </row>
    <row r="695" spans="24:24" ht="15.75" customHeight="1" x14ac:dyDescent="0.2">
      <c r="X695" s="2"/>
    </row>
    <row r="696" spans="24:24" ht="15.75" customHeight="1" x14ac:dyDescent="0.2">
      <c r="X696" s="2"/>
    </row>
    <row r="697" spans="24:24" ht="15.75" customHeight="1" x14ac:dyDescent="0.2">
      <c r="X697" s="2"/>
    </row>
    <row r="698" spans="24:24" ht="15.75" customHeight="1" x14ac:dyDescent="0.2">
      <c r="X698" s="2"/>
    </row>
    <row r="699" spans="24:24" ht="15.75" customHeight="1" x14ac:dyDescent="0.2">
      <c r="X699" s="2"/>
    </row>
    <row r="700" spans="24:24" ht="15.75" customHeight="1" x14ac:dyDescent="0.2">
      <c r="X700" s="2"/>
    </row>
    <row r="701" spans="24:24" ht="15.75" customHeight="1" x14ac:dyDescent="0.2">
      <c r="X701" s="2"/>
    </row>
    <row r="702" spans="24:24" ht="15.75" customHeight="1" x14ac:dyDescent="0.2">
      <c r="X702" s="2"/>
    </row>
    <row r="703" spans="24:24" ht="15.75" customHeight="1" x14ac:dyDescent="0.2">
      <c r="X703" s="2"/>
    </row>
    <row r="704" spans="24:24" ht="15.75" customHeight="1" x14ac:dyDescent="0.2">
      <c r="X704" s="2"/>
    </row>
    <row r="705" spans="24:24" ht="15.75" customHeight="1" x14ac:dyDescent="0.2">
      <c r="X705" s="2"/>
    </row>
    <row r="706" spans="24:24" ht="15.75" customHeight="1" x14ac:dyDescent="0.2">
      <c r="X706" s="2"/>
    </row>
    <row r="707" spans="24:24" ht="15.75" customHeight="1" x14ac:dyDescent="0.2">
      <c r="X707" s="2"/>
    </row>
    <row r="708" spans="24:24" ht="15.75" customHeight="1" x14ac:dyDescent="0.2">
      <c r="X708" s="2"/>
    </row>
    <row r="709" spans="24:24" ht="15.75" customHeight="1" x14ac:dyDescent="0.2">
      <c r="X709" s="2"/>
    </row>
    <row r="710" spans="24:24" ht="15.75" customHeight="1" x14ac:dyDescent="0.2">
      <c r="X710" s="2"/>
    </row>
    <row r="711" spans="24:24" ht="15.75" customHeight="1" x14ac:dyDescent="0.2">
      <c r="X711" s="2"/>
    </row>
    <row r="712" spans="24:24" ht="15.75" customHeight="1" x14ac:dyDescent="0.2">
      <c r="X712" s="2"/>
    </row>
    <row r="713" spans="24:24" ht="15.75" customHeight="1" x14ac:dyDescent="0.2">
      <c r="X713" s="2"/>
    </row>
    <row r="714" spans="24:24" ht="15.75" customHeight="1" x14ac:dyDescent="0.2">
      <c r="X714" s="2"/>
    </row>
    <row r="715" spans="24:24" ht="15.75" customHeight="1" x14ac:dyDescent="0.2">
      <c r="X715" s="2"/>
    </row>
    <row r="716" spans="24:24" ht="15.75" customHeight="1" x14ac:dyDescent="0.2">
      <c r="X716" s="2"/>
    </row>
    <row r="717" spans="24:24" ht="15.75" customHeight="1" x14ac:dyDescent="0.2">
      <c r="X717" s="2"/>
    </row>
    <row r="718" spans="24:24" ht="15.75" customHeight="1" x14ac:dyDescent="0.2">
      <c r="X718" s="2"/>
    </row>
    <row r="719" spans="24:24" ht="15.75" customHeight="1" x14ac:dyDescent="0.2">
      <c r="X719" s="2"/>
    </row>
    <row r="720" spans="24:24" ht="15.75" customHeight="1" x14ac:dyDescent="0.2">
      <c r="X720" s="2"/>
    </row>
    <row r="721" spans="24:24" ht="15.75" customHeight="1" x14ac:dyDescent="0.2">
      <c r="X721" s="2"/>
    </row>
    <row r="722" spans="24:24" ht="15.75" customHeight="1" x14ac:dyDescent="0.2">
      <c r="X722" s="2"/>
    </row>
    <row r="723" spans="24:24" ht="15.75" customHeight="1" x14ac:dyDescent="0.2">
      <c r="X723" s="2"/>
    </row>
    <row r="724" spans="24:24" ht="15.75" customHeight="1" x14ac:dyDescent="0.2">
      <c r="X724" s="2"/>
    </row>
    <row r="725" spans="24:24" ht="15.75" customHeight="1" x14ac:dyDescent="0.2">
      <c r="X725" s="2"/>
    </row>
    <row r="726" spans="24:24" ht="15.75" customHeight="1" x14ac:dyDescent="0.2">
      <c r="X726" s="2"/>
    </row>
    <row r="727" spans="24:24" ht="15.75" customHeight="1" x14ac:dyDescent="0.2">
      <c r="X727" s="2"/>
    </row>
    <row r="728" spans="24:24" ht="15.75" customHeight="1" x14ac:dyDescent="0.2">
      <c r="X728" s="2"/>
    </row>
    <row r="729" spans="24:24" ht="15.75" customHeight="1" x14ac:dyDescent="0.2">
      <c r="X729" s="2"/>
    </row>
    <row r="730" spans="24:24" ht="15.75" customHeight="1" x14ac:dyDescent="0.2">
      <c r="X730" s="2"/>
    </row>
    <row r="731" spans="24:24" ht="15.75" customHeight="1" x14ac:dyDescent="0.2">
      <c r="X731" s="2"/>
    </row>
    <row r="732" spans="24:24" ht="15.75" customHeight="1" x14ac:dyDescent="0.2">
      <c r="X732" s="2"/>
    </row>
    <row r="733" spans="24:24" ht="15.75" customHeight="1" x14ac:dyDescent="0.2">
      <c r="X733" s="2"/>
    </row>
    <row r="734" spans="24:24" ht="15.75" customHeight="1" x14ac:dyDescent="0.2">
      <c r="X734" s="2"/>
    </row>
    <row r="735" spans="24:24" ht="15.75" customHeight="1" x14ac:dyDescent="0.2">
      <c r="X735" s="2"/>
    </row>
    <row r="736" spans="24:24" ht="15.75" customHeight="1" x14ac:dyDescent="0.2">
      <c r="X736" s="2"/>
    </row>
    <row r="737" spans="24:24" ht="15.75" customHeight="1" x14ac:dyDescent="0.2">
      <c r="X737" s="2"/>
    </row>
    <row r="738" spans="24:24" ht="15.75" customHeight="1" x14ac:dyDescent="0.2">
      <c r="X738" s="2"/>
    </row>
    <row r="739" spans="24:24" ht="15.75" customHeight="1" x14ac:dyDescent="0.2">
      <c r="X739" s="2"/>
    </row>
    <row r="740" spans="24:24" ht="15.75" customHeight="1" x14ac:dyDescent="0.2">
      <c r="X740" s="2"/>
    </row>
    <row r="741" spans="24:24" ht="15.75" customHeight="1" x14ac:dyDescent="0.2">
      <c r="X741" s="2"/>
    </row>
    <row r="742" spans="24:24" ht="15.75" customHeight="1" x14ac:dyDescent="0.2">
      <c r="X742" s="2"/>
    </row>
    <row r="743" spans="24:24" ht="15.75" customHeight="1" x14ac:dyDescent="0.2">
      <c r="X743" s="2"/>
    </row>
    <row r="744" spans="24:24" ht="15.75" customHeight="1" x14ac:dyDescent="0.2">
      <c r="X744" s="2"/>
    </row>
    <row r="745" spans="24:24" ht="15.75" customHeight="1" x14ac:dyDescent="0.2">
      <c r="X745" s="2"/>
    </row>
    <row r="746" spans="24:24" ht="15.75" customHeight="1" x14ac:dyDescent="0.2">
      <c r="X746" s="2"/>
    </row>
    <row r="747" spans="24:24" ht="15.75" customHeight="1" x14ac:dyDescent="0.2">
      <c r="X747" s="2"/>
    </row>
    <row r="748" spans="24:24" ht="15.75" customHeight="1" x14ac:dyDescent="0.2">
      <c r="X748" s="2"/>
    </row>
    <row r="749" spans="24:24" ht="15.75" customHeight="1" x14ac:dyDescent="0.2">
      <c r="X749" s="2"/>
    </row>
    <row r="750" spans="24:24" ht="15.75" customHeight="1" x14ac:dyDescent="0.2">
      <c r="X750" s="2"/>
    </row>
    <row r="751" spans="24:24" ht="15.75" customHeight="1" x14ac:dyDescent="0.2">
      <c r="X751" s="2"/>
    </row>
    <row r="752" spans="24:24" ht="15.75" customHeight="1" x14ac:dyDescent="0.2">
      <c r="X752" s="2"/>
    </row>
    <row r="753" spans="24:24" ht="15.75" customHeight="1" x14ac:dyDescent="0.2">
      <c r="X753" s="2"/>
    </row>
    <row r="754" spans="24:24" ht="15.75" customHeight="1" x14ac:dyDescent="0.2">
      <c r="X754" s="2"/>
    </row>
    <row r="755" spans="24:24" ht="15.75" customHeight="1" x14ac:dyDescent="0.2">
      <c r="X755" s="2"/>
    </row>
    <row r="756" spans="24:24" ht="15.75" customHeight="1" x14ac:dyDescent="0.2">
      <c r="X756" s="2"/>
    </row>
    <row r="757" spans="24:24" ht="15.75" customHeight="1" x14ac:dyDescent="0.2">
      <c r="X757" s="2"/>
    </row>
    <row r="758" spans="24:24" ht="15.75" customHeight="1" x14ac:dyDescent="0.2">
      <c r="X758" s="2"/>
    </row>
    <row r="759" spans="24:24" ht="15.75" customHeight="1" x14ac:dyDescent="0.2">
      <c r="X759" s="2"/>
    </row>
    <row r="760" spans="24:24" ht="15.75" customHeight="1" x14ac:dyDescent="0.2">
      <c r="X760" s="2"/>
    </row>
    <row r="761" spans="24:24" ht="15.75" customHeight="1" x14ac:dyDescent="0.2">
      <c r="X761" s="2"/>
    </row>
    <row r="762" spans="24:24" ht="15.75" customHeight="1" x14ac:dyDescent="0.2">
      <c r="X762" s="2"/>
    </row>
    <row r="763" spans="24:24" ht="15.75" customHeight="1" x14ac:dyDescent="0.2">
      <c r="X763" s="2"/>
    </row>
    <row r="764" spans="24:24" ht="15.75" customHeight="1" x14ac:dyDescent="0.2">
      <c r="X764" s="2"/>
    </row>
    <row r="765" spans="24:24" ht="15.75" customHeight="1" x14ac:dyDescent="0.2">
      <c r="X765" s="2"/>
    </row>
    <row r="766" spans="24:24" ht="15.75" customHeight="1" x14ac:dyDescent="0.2">
      <c r="X766" s="2"/>
    </row>
    <row r="767" spans="24:24" ht="15.75" customHeight="1" x14ac:dyDescent="0.2">
      <c r="X767" s="2"/>
    </row>
    <row r="768" spans="24:24" ht="15.75" customHeight="1" x14ac:dyDescent="0.2">
      <c r="X768" s="2"/>
    </row>
    <row r="769" spans="24:24" ht="15.75" customHeight="1" x14ac:dyDescent="0.2">
      <c r="X769" s="2"/>
    </row>
    <row r="770" spans="24:24" ht="15.75" customHeight="1" x14ac:dyDescent="0.2">
      <c r="X770" s="2"/>
    </row>
    <row r="771" spans="24:24" ht="15.75" customHeight="1" x14ac:dyDescent="0.2">
      <c r="X771" s="2"/>
    </row>
    <row r="772" spans="24:24" ht="15.75" customHeight="1" x14ac:dyDescent="0.2">
      <c r="X772" s="2"/>
    </row>
    <row r="773" spans="24:24" ht="15.75" customHeight="1" x14ac:dyDescent="0.2">
      <c r="X773" s="2"/>
    </row>
    <row r="774" spans="24:24" ht="15.75" customHeight="1" x14ac:dyDescent="0.2">
      <c r="X774" s="2"/>
    </row>
    <row r="775" spans="24:24" ht="15.75" customHeight="1" x14ac:dyDescent="0.2">
      <c r="X775" s="2"/>
    </row>
    <row r="776" spans="24:24" ht="15.75" customHeight="1" x14ac:dyDescent="0.2">
      <c r="X776" s="2"/>
    </row>
    <row r="777" spans="24:24" ht="15.75" customHeight="1" x14ac:dyDescent="0.2">
      <c r="X777" s="2"/>
    </row>
    <row r="778" spans="24:24" ht="15.75" customHeight="1" x14ac:dyDescent="0.2">
      <c r="X778" s="2"/>
    </row>
    <row r="779" spans="24:24" ht="15.75" customHeight="1" x14ac:dyDescent="0.2">
      <c r="X779" s="2"/>
    </row>
    <row r="780" spans="24:24" ht="15.75" customHeight="1" x14ac:dyDescent="0.2">
      <c r="X780" s="2"/>
    </row>
    <row r="781" spans="24:24" ht="15.75" customHeight="1" x14ac:dyDescent="0.2">
      <c r="X781" s="2"/>
    </row>
    <row r="782" spans="24:24" ht="15.75" customHeight="1" x14ac:dyDescent="0.2">
      <c r="X782" s="2"/>
    </row>
    <row r="783" spans="24:24" ht="15.75" customHeight="1" x14ac:dyDescent="0.2">
      <c r="X783" s="2"/>
    </row>
    <row r="784" spans="24:24" ht="15.75" customHeight="1" x14ac:dyDescent="0.2">
      <c r="X784" s="2"/>
    </row>
    <row r="785" spans="24:24" ht="15.75" customHeight="1" x14ac:dyDescent="0.2">
      <c r="X785" s="2"/>
    </row>
    <row r="786" spans="24:24" ht="15.75" customHeight="1" x14ac:dyDescent="0.2">
      <c r="X786" s="2"/>
    </row>
    <row r="787" spans="24:24" ht="15.75" customHeight="1" x14ac:dyDescent="0.2">
      <c r="X787" s="2"/>
    </row>
    <row r="788" spans="24:24" ht="15.75" customHeight="1" x14ac:dyDescent="0.2">
      <c r="X788" s="2"/>
    </row>
    <row r="789" spans="24:24" ht="15.75" customHeight="1" x14ac:dyDescent="0.2">
      <c r="X789" s="2"/>
    </row>
    <row r="790" spans="24:24" ht="15.75" customHeight="1" x14ac:dyDescent="0.2">
      <c r="X790" s="2"/>
    </row>
    <row r="791" spans="24:24" ht="15.75" customHeight="1" x14ac:dyDescent="0.2">
      <c r="X791" s="2"/>
    </row>
    <row r="792" spans="24:24" ht="15.75" customHeight="1" x14ac:dyDescent="0.2">
      <c r="X792" s="2"/>
    </row>
    <row r="793" spans="24:24" ht="15.75" customHeight="1" x14ac:dyDescent="0.2">
      <c r="X793" s="2"/>
    </row>
    <row r="794" spans="24:24" ht="15.75" customHeight="1" x14ac:dyDescent="0.2">
      <c r="X794" s="2"/>
    </row>
    <row r="795" spans="24:24" ht="15.75" customHeight="1" x14ac:dyDescent="0.2">
      <c r="X795" s="2"/>
    </row>
    <row r="796" spans="24:24" ht="15.75" customHeight="1" x14ac:dyDescent="0.2">
      <c r="X796" s="2"/>
    </row>
    <row r="797" spans="24:24" ht="15.75" customHeight="1" x14ac:dyDescent="0.2">
      <c r="X797" s="2"/>
    </row>
    <row r="798" spans="24:24" ht="15.75" customHeight="1" x14ac:dyDescent="0.2">
      <c r="X798" s="2"/>
    </row>
    <row r="799" spans="24:24" ht="15.75" customHeight="1" x14ac:dyDescent="0.2">
      <c r="X799" s="2"/>
    </row>
    <row r="800" spans="24:24" ht="15.75" customHeight="1" x14ac:dyDescent="0.2">
      <c r="X800" s="2"/>
    </row>
    <row r="801" spans="24:24" ht="15.75" customHeight="1" x14ac:dyDescent="0.2">
      <c r="X801" s="2"/>
    </row>
    <row r="802" spans="24:24" ht="15.75" customHeight="1" x14ac:dyDescent="0.2">
      <c r="X802" s="2"/>
    </row>
    <row r="803" spans="24:24" ht="15.75" customHeight="1" x14ac:dyDescent="0.2">
      <c r="X803" s="2"/>
    </row>
    <row r="804" spans="24:24" ht="15.75" customHeight="1" x14ac:dyDescent="0.2">
      <c r="X804" s="2"/>
    </row>
    <row r="805" spans="24:24" ht="15.75" customHeight="1" x14ac:dyDescent="0.2">
      <c r="X805" s="2"/>
    </row>
    <row r="806" spans="24:24" ht="15.75" customHeight="1" x14ac:dyDescent="0.2">
      <c r="X806" s="2"/>
    </row>
    <row r="807" spans="24:24" ht="15.75" customHeight="1" x14ac:dyDescent="0.2">
      <c r="X807" s="2"/>
    </row>
    <row r="808" spans="24:24" ht="15.75" customHeight="1" x14ac:dyDescent="0.2">
      <c r="X808" s="2"/>
    </row>
    <row r="809" spans="24:24" ht="15.75" customHeight="1" x14ac:dyDescent="0.2">
      <c r="X809" s="2"/>
    </row>
    <row r="810" spans="24:24" ht="15.75" customHeight="1" x14ac:dyDescent="0.2">
      <c r="X810" s="2"/>
    </row>
    <row r="811" spans="24:24" ht="15.75" customHeight="1" x14ac:dyDescent="0.2">
      <c r="X811" s="2"/>
    </row>
    <row r="812" spans="24:24" ht="15.75" customHeight="1" x14ac:dyDescent="0.2">
      <c r="X812" s="2"/>
    </row>
    <row r="813" spans="24:24" ht="15.75" customHeight="1" x14ac:dyDescent="0.2">
      <c r="X813" s="2"/>
    </row>
    <row r="814" spans="24:24" ht="15.75" customHeight="1" x14ac:dyDescent="0.2">
      <c r="X814" s="2"/>
    </row>
    <row r="815" spans="24:24" ht="15.75" customHeight="1" x14ac:dyDescent="0.2">
      <c r="X815" s="2"/>
    </row>
    <row r="816" spans="24:24" ht="15.75" customHeight="1" x14ac:dyDescent="0.2">
      <c r="X816" s="2"/>
    </row>
    <row r="817" spans="24:24" ht="15.75" customHeight="1" x14ac:dyDescent="0.2">
      <c r="X817" s="2"/>
    </row>
    <row r="818" spans="24:24" ht="15.75" customHeight="1" x14ac:dyDescent="0.2">
      <c r="X818" s="2"/>
    </row>
    <row r="819" spans="24:24" ht="15.75" customHeight="1" x14ac:dyDescent="0.2">
      <c r="X819" s="2"/>
    </row>
    <row r="820" spans="24:24" ht="15.75" customHeight="1" x14ac:dyDescent="0.2">
      <c r="X820" s="2"/>
    </row>
    <row r="821" spans="24:24" ht="15.75" customHeight="1" x14ac:dyDescent="0.2">
      <c r="X821" s="2"/>
    </row>
    <row r="822" spans="24:24" ht="15.75" customHeight="1" x14ac:dyDescent="0.2">
      <c r="X822" s="2"/>
    </row>
    <row r="823" spans="24:24" ht="15.75" customHeight="1" x14ac:dyDescent="0.2">
      <c r="X823" s="2"/>
    </row>
    <row r="824" spans="24:24" ht="15.75" customHeight="1" x14ac:dyDescent="0.2">
      <c r="X824" s="2"/>
    </row>
    <row r="825" spans="24:24" ht="15.75" customHeight="1" x14ac:dyDescent="0.2">
      <c r="X825" s="2"/>
    </row>
    <row r="826" spans="24:24" ht="15.75" customHeight="1" x14ac:dyDescent="0.2">
      <c r="X826" s="2"/>
    </row>
    <row r="827" spans="24:24" ht="15.75" customHeight="1" x14ac:dyDescent="0.2">
      <c r="X827" s="2"/>
    </row>
    <row r="828" spans="24:24" ht="15.75" customHeight="1" x14ac:dyDescent="0.2">
      <c r="X828" s="2"/>
    </row>
    <row r="829" spans="24:24" ht="15.75" customHeight="1" x14ac:dyDescent="0.2">
      <c r="X829" s="2"/>
    </row>
    <row r="830" spans="24:24" ht="15.75" customHeight="1" x14ac:dyDescent="0.2">
      <c r="X830" s="2"/>
    </row>
    <row r="831" spans="24:24" ht="15.75" customHeight="1" x14ac:dyDescent="0.2">
      <c r="X831" s="2"/>
    </row>
    <row r="832" spans="24:24" ht="15.75" customHeight="1" x14ac:dyDescent="0.2">
      <c r="X832" s="2"/>
    </row>
    <row r="833" spans="24:24" ht="15.75" customHeight="1" x14ac:dyDescent="0.2">
      <c r="X833" s="2"/>
    </row>
    <row r="834" spans="24:24" ht="15.75" customHeight="1" x14ac:dyDescent="0.2">
      <c r="X834" s="2"/>
    </row>
    <row r="835" spans="24:24" ht="15.75" customHeight="1" x14ac:dyDescent="0.2">
      <c r="X835" s="2"/>
    </row>
    <row r="836" spans="24:24" ht="15.75" customHeight="1" x14ac:dyDescent="0.2">
      <c r="X836" s="2"/>
    </row>
    <row r="837" spans="24:24" ht="15.75" customHeight="1" x14ac:dyDescent="0.2">
      <c r="X837" s="2"/>
    </row>
    <row r="838" spans="24:24" ht="15.75" customHeight="1" x14ac:dyDescent="0.2">
      <c r="X838" s="2"/>
    </row>
    <row r="839" spans="24:24" ht="15.75" customHeight="1" x14ac:dyDescent="0.2">
      <c r="X839" s="2"/>
    </row>
    <row r="840" spans="24:24" ht="15.75" customHeight="1" x14ac:dyDescent="0.2">
      <c r="X840" s="2"/>
    </row>
    <row r="841" spans="24:24" ht="15.75" customHeight="1" x14ac:dyDescent="0.2">
      <c r="X841" s="2"/>
    </row>
    <row r="842" spans="24:24" ht="15.75" customHeight="1" x14ac:dyDescent="0.2">
      <c r="X842" s="2"/>
    </row>
    <row r="843" spans="24:24" ht="15.75" customHeight="1" x14ac:dyDescent="0.2">
      <c r="X843" s="2"/>
    </row>
    <row r="844" spans="24:24" ht="15.75" customHeight="1" x14ac:dyDescent="0.2">
      <c r="X844" s="2"/>
    </row>
    <row r="845" spans="24:24" ht="15.75" customHeight="1" x14ac:dyDescent="0.2">
      <c r="X845" s="2"/>
    </row>
    <row r="846" spans="24:24" ht="15.75" customHeight="1" x14ac:dyDescent="0.2">
      <c r="X846" s="2"/>
    </row>
    <row r="847" spans="24:24" ht="15.75" customHeight="1" x14ac:dyDescent="0.2">
      <c r="X847" s="2"/>
    </row>
    <row r="848" spans="24:24" ht="15.75" customHeight="1" x14ac:dyDescent="0.2">
      <c r="X848" s="2"/>
    </row>
    <row r="849" spans="24:24" ht="15.75" customHeight="1" x14ac:dyDescent="0.2">
      <c r="X849" s="2"/>
    </row>
    <row r="850" spans="24:24" ht="15.75" customHeight="1" x14ac:dyDescent="0.2">
      <c r="X850" s="2"/>
    </row>
    <row r="851" spans="24:24" ht="15.75" customHeight="1" x14ac:dyDescent="0.2">
      <c r="X851" s="2"/>
    </row>
    <row r="852" spans="24:24" ht="15.75" customHeight="1" x14ac:dyDescent="0.2">
      <c r="X852" s="2"/>
    </row>
    <row r="853" spans="24:24" ht="15.75" customHeight="1" x14ac:dyDescent="0.2">
      <c r="X853" s="2"/>
    </row>
    <row r="854" spans="24:24" ht="15.75" customHeight="1" x14ac:dyDescent="0.2">
      <c r="X854" s="2"/>
    </row>
    <row r="855" spans="24:24" ht="15.75" customHeight="1" x14ac:dyDescent="0.2">
      <c r="X855" s="2"/>
    </row>
    <row r="856" spans="24:24" ht="15.75" customHeight="1" x14ac:dyDescent="0.2">
      <c r="X856" s="2"/>
    </row>
    <row r="857" spans="24:24" ht="15.75" customHeight="1" x14ac:dyDescent="0.2">
      <c r="X857" s="2"/>
    </row>
    <row r="858" spans="24:24" ht="15.75" customHeight="1" x14ac:dyDescent="0.2">
      <c r="X858" s="2"/>
    </row>
    <row r="859" spans="24:24" ht="15.75" customHeight="1" x14ac:dyDescent="0.2">
      <c r="X859" s="2"/>
    </row>
    <row r="860" spans="24:24" ht="15.75" customHeight="1" x14ac:dyDescent="0.2">
      <c r="X860" s="2"/>
    </row>
    <row r="861" spans="24:24" ht="15.75" customHeight="1" x14ac:dyDescent="0.2">
      <c r="X861" s="2"/>
    </row>
    <row r="862" spans="24:24" ht="15.75" customHeight="1" x14ac:dyDescent="0.2">
      <c r="X862" s="2"/>
    </row>
    <row r="863" spans="24:24" ht="15.75" customHeight="1" x14ac:dyDescent="0.2">
      <c r="X863" s="2"/>
    </row>
    <row r="864" spans="24:24" ht="15.75" customHeight="1" x14ac:dyDescent="0.2">
      <c r="X864" s="2"/>
    </row>
    <row r="865" spans="24:24" ht="15.75" customHeight="1" x14ac:dyDescent="0.2">
      <c r="X865" s="2"/>
    </row>
    <row r="866" spans="24:24" ht="15.75" customHeight="1" x14ac:dyDescent="0.2">
      <c r="X866" s="2"/>
    </row>
    <row r="867" spans="24:24" ht="15.75" customHeight="1" x14ac:dyDescent="0.2">
      <c r="X867" s="2"/>
    </row>
    <row r="868" spans="24:24" ht="15.75" customHeight="1" x14ac:dyDescent="0.2">
      <c r="X868" s="2"/>
    </row>
    <row r="869" spans="24:24" ht="15.75" customHeight="1" x14ac:dyDescent="0.2">
      <c r="X869" s="2"/>
    </row>
    <row r="870" spans="24:24" ht="15.75" customHeight="1" x14ac:dyDescent="0.2">
      <c r="X870" s="2"/>
    </row>
    <row r="871" spans="24:24" ht="15.75" customHeight="1" x14ac:dyDescent="0.2">
      <c r="X871" s="2"/>
    </row>
    <row r="872" spans="24:24" ht="15.75" customHeight="1" x14ac:dyDescent="0.2">
      <c r="X872" s="2"/>
    </row>
    <row r="873" spans="24:24" ht="15.75" customHeight="1" x14ac:dyDescent="0.2">
      <c r="X873" s="2"/>
    </row>
    <row r="874" spans="24:24" ht="15.75" customHeight="1" x14ac:dyDescent="0.2">
      <c r="X874" s="2"/>
    </row>
    <row r="875" spans="24:24" ht="15.75" customHeight="1" x14ac:dyDescent="0.2">
      <c r="X875" s="2"/>
    </row>
    <row r="876" spans="24:24" ht="15.75" customHeight="1" x14ac:dyDescent="0.2">
      <c r="X876" s="2"/>
    </row>
    <row r="877" spans="24:24" ht="15.75" customHeight="1" x14ac:dyDescent="0.2">
      <c r="X877" s="2"/>
    </row>
    <row r="878" spans="24:24" ht="15.75" customHeight="1" x14ac:dyDescent="0.2">
      <c r="X878" s="2"/>
    </row>
    <row r="879" spans="24:24" ht="15.75" customHeight="1" x14ac:dyDescent="0.2">
      <c r="X879" s="2"/>
    </row>
    <row r="880" spans="24:24" ht="15.75" customHeight="1" x14ac:dyDescent="0.2">
      <c r="X880" s="2"/>
    </row>
    <row r="881" spans="24:24" ht="15.75" customHeight="1" x14ac:dyDescent="0.2">
      <c r="X881" s="2"/>
    </row>
    <row r="882" spans="24:24" ht="15.75" customHeight="1" x14ac:dyDescent="0.2">
      <c r="X882" s="2"/>
    </row>
    <row r="883" spans="24:24" ht="15.75" customHeight="1" x14ac:dyDescent="0.2">
      <c r="X883" s="2"/>
    </row>
    <row r="884" spans="24:24" ht="15.75" customHeight="1" x14ac:dyDescent="0.2">
      <c r="X884" s="2"/>
    </row>
    <row r="885" spans="24:24" ht="15.75" customHeight="1" x14ac:dyDescent="0.2">
      <c r="X885" s="2"/>
    </row>
    <row r="886" spans="24:24" ht="15.75" customHeight="1" x14ac:dyDescent="0.2">
      <c r="X886" s="2"/>
    </row>
    <row r="887" spans="24:24" ht="15.75" customHeight="1" x14ac:dyDescent="0.2">
      <c r="X887" s="2"/>
    </row>
    <row r="888" spans="24:24" ht="15.75" customHeight="1" x14ac:dyDescent="0.2">
      <c r="X888" s="2"/>
    </row>
    <row r="889" spans="24:24" ht="15.75" customHeight="1" x14ac:dyDescent="0.2">
      <c r="X889" s="2"/>
    </row>
    <row r="890" spans="24:24" ht="15.75" customHeight="1" x14ac:dyDescent="0.2">
      <c r="X890" s="2"/>
    </row>
    <row r="891" spans="24:24" ht="15.75" customHeight="1" x14ac:dyDescent="0.2">
      <c r="X891" s="2"/>
    </row>
    <row r="892" spans="24:24" ht="15.75" customHeight="1" x14ac:dyDescent="0.2">
      <c r="X892" s="2"/>
    </row>
    <row r="893" spans="24:24" ht="15.75" customHeight="1" x14ac:dyDescent="0.2">
      <c r="X893" s="2"/>
    </row>
    <row r="894" spans="24:24" ht="15.75" customHeight="1" x14ac:dyDescent="0.2">
      <c r="X894" s="2"/>
    </row>
    <row r="895" spans="24:24" ht="15.75" customHeight="1" x14ac:dyDescent="0.2">
      <c r="X895" s="2"/>
    </row>
    <row r="896" spans="24:24" ht="15.75" customHeight="1" x14ac:dyDescent="0.2">
      <c r="X896" s="2"/>
    </row>
    <row r="897" spans="24:24" ht="15.75" customHeight="1" x14ac:dyDescent="0.2">
      <c r="X897" s="2"/>
    </row>
    <row r="898" spans="24:24" ht="15.75" customHeight="1" x14ac:dyDescent="0.2">
      <c r="X898" s="2"/>
    </row>
    <row r="899" spans="24:24" ht="15.75" customHeight="1" x14ac:dyDescent="0.2">
      <c r="X899" s="2"/>
    </row>
    <row r="900" spans="24:24" ht="15.75" customHeight="1" x14ac:dyDescent="0.2">
      <c r="X900" s="2"/>
    </row>
    <row r="901" spans="24:24" ht="15.75" customHeight="1" x14ac:dyDescent="0.2">
      <c r="X901" s="2"/>
    </row>
    <row r="902" spans="24:24" ht="15.75" customHeight="1" x14ac:dyDescent="0.2">
      <c r="X902" s="2"/>
    </row>
    <row r="903" spans="24:24" ht="15.75" customHeight="1" x14ac:dyDescent="0.2">
      <c r="X903" s="2"/>
    </row>
    <row r="904" spans="24:24" ht="15.75" customHeight="1" x14ac:dyDescent="0.2">
      <c r="X904" s="2"/>
    </row>
    <row r="905" spans="24:24" ht="15.75" customHeight="1" x14ac:dyDescent="0.2">
      <c r="X905" s="2"/>
    </row>
    <row r="906" spans="24:24" ht="15.75" customHeight="1" x14ac:dyDescent="0.2">
      <c r="X906" s="2"/>
    </row>
    <row r="907" spans="24:24" ht="15.75" customHeight="1" x14ac:dyDescent="0.2">
      <c r="X907" s="2"/>
    </row>
    <row r="908" spans="24:24" ht="15.75" customHeight="1" x14ac:dyDescent="0.2">
      <c r="X908" s="2"/>
    </row>
    <row r="909" spans="24:24" ht="15.75" customHeight="1" x14ac:dyDescent="0.2">
      <c r="X909" s="2"/>
    </row>
    <row r="910" spans="24:24" ht="15.75" customHeight="1" x14ac:dyDescent="0.2">
      <c r="X910" s="2"/>
    </row>
    <row r="911" spans="24:24" ht="15.75" customHeight="1" x14ac:dyDescent="0.2">
      <c r="X911" s="2"/>
    </row>
    <row r="912" spans="24:24" ht="15.75" customHeight="1" x14ac:dyDescent="0.2">
      <c r="X912" s="2"/>
    </row>
    <row r="913" spans="24:24" ht="15.75" customHeight="1" x14ac:dyDescent="0.2">
      <c r="X913" s="2"/>
    </row>
    <row r="914" spans="24:24" ht="15.75" customHeight="1" x14ac:dyDescent="0.2">
      <c r="X914" s="2"/>
    </row>
    <row r="915" spans="24:24" ht="15.75" customHeight="1" x14ac:dyDescent="0.2">
      <c r="X915" s="2"/>
    </row>
    <row r="916" spans="24:24" ht="15.75" customHeight="1" x14ac:dyDescent="0.2">
      <c r="X916" s="2"/>
    </row>
    <row r="917" spans="24:24" ht="15.75" customHeight="1" x14ac:dyDescent="0.2">
      <c r="X917" s="2"/>
    </row>
    <row r="918" spans="24:24" ht="15.75" customHeight="1" x14ac:dyDescent="0.2">
      <c r="X918" s="2"/>
    </row>
    <row r="919" spans="24:24" ht="15.75" customHeight="1" x14ac:dyDescent="0.2">
      <c r="X919" s="2"/>
    </row>
    <row r="920" spans="24:24" ht="15.75" customHeight="1" x14ac:dyDescent="0.2">
      <c r="X920" s="2"/>
    </row>
    <row r="921" spans="24:24" ht="15.75" customHeight="1" x14ac:dyDescent="0.2">
      <c r="X921" s="2"/>
    </row>
    <row r="922" spans="24:24" ht="15.75" customHeight="1" x14ac:dyDescent="0.2">
      <c r="X922" s="2"/>
    </row>
    <row r="923" spans="24:24" ht="15.75" customHeight="1" x14ac:dyDescent="0.2">
      <c r="X923" s="2"/>
    </row>
    <row r="924" spans="24:24" ht="15.75" customHeight="1" x14ac:dyDescent="0.2">
      <c r="X924" s="2"/>
    </row>
    <row r="925" spans="24:24" ht="15.75" customHeight="1" x14ac:dyDescent="0.2">
      <c r="X925" s="2"/>
    </row>
    <row r="926" spans="24:24" ht="15.75" customHeight="1" x14ac:dyDescent="0.2">
      <c r="X926" s="2"/>
    </row>
    <row r="927" spans="24:24" ht="15.75" customHeight="1" x14ac:dyDescent="0.2">
      <c r="X927" s="2"/>
    </row>
    <row r="928" spans="24:24" ht="15.75" customHeight="1" x14ac:dyDescent="0.2">
      <c r="X928" s="2"/>
    </row>
    <row r="929" spans="24:24" ht="15.75" customHeight="1" x14ac:dyDescent="0.2">
      <c r="X929" s="2"/>
    </row>
    <row r="930" spans="24:24" ht="15.75" customHeight="1" x14ac:dyDescent="0.2">
      <c r="X930" s="2"/>
    </row>
    <row r="931" spans="24:24" ht="15.75" customHeight="1" x14ac:dyDescent="0.2">
      <c r="X931" s="2"/>
    </row>
    <row r="932" spans="24:24" ht="15.75" customHeight="1" x14ac:dyDescent="0.2">
      <c r="X932" s="2"/>
    </row>
    <row r="933" spans="24:24" ht="15.75" customHeight="1" x14ac:dyDescent="0.2">
      <c r="X933" s="2"/>
    </row>
    <row r="934" spans="24:24" ht="15.75" customHeight="1" x14ac:dyDescent="0.2">
      <c r="X934" s="2"/>
    </row>
    <row r="935" spans="24:24" ht="15.75" customHeight="1" x14ac:dyDescent="0.2">
      <c r="X935" s="2"/>
    </row>
    <row r="936" spans="24:24" ht="15.75" customHeight="1" x14ac:dyDescent="0.2">
      <c r="X936" s="2"/>
    </row>
    <row r="937" spans="24:24" ht="15.75" customHeight="1" x14ac:dyDescent="0.2">
      <c r="X937" s="2"/>
    </row>
    <row r="938" spans="24:24" ht="15.75" customHeight="1" x14ac:dyDescent="0.2">
      <c r="X938" s="2"/>
    </row>
    <row r="939" spans="24:24" ht="15.75" customHeight="1" x14ac:dyDescent="0.2">
      <c r="X939" s="2"/>
    </row>
    <row r="940" spans="24:24" ht="15.75" customHeight="1" x14ac:dyDescent="0.2">
      <c r="X940" s="2"/>
    </row>
    <row r="941" spans="24:24" ht="15.75" customHeight="1" x14ac:dyDescent="0.2">
      <c r="X941" s="2"/>
    </row>
    <row r="942" spans="24:24" ht="15.75" customHeight="1" x14ac:dyDescent="0.2">
      <c r="X942" s="2"/>
    </row>
    <row r="943" spans="24:24" ht="15.75" customHeight="1" x14ac:dyDescent="0.2">
      <c r="X943" s="2"/>
    </row>
    <row r="944" spans="24:24" ht="15.75" customHeight="1" x14ac:dyDescent="0.2">
      <c r="X944" s="2"/>
    </row>
    <row r="945" spans="24:24" ht="15.75" customHeight="1" x14ac:dyDescent="0.2">
      <c r="X945" s="2"/>
    </row>
    <row r="946" spans="24:24" ht="15.75" customHeight="1" x14ac:dyDescent="0.2">
      <c r="X946" s="2"/>
    </row>
    <row r="947" spans="24:24" ht="15.75" customHeight="1" x14ac:dyDescent="0.2">
      <c r="X947" s="2"/>
    </row>
    <row r="948" spans="24:24" ht="15.75" customHeight="1" x14ac:dyDescent="0.2">
      <c r="X948" s="2"/>
    </row>
    <row r="949" spans="24:24" ht="15.75" customHeight="1" x14ac:dyDescent="0.2">
      <c r="X949" s="2"/>
    </row>
    <row r="950" spans="24:24" ht="15.75" customHeight="1" x14ac:dyDescent="0.2">
      <c r="X950" s="2"/>
    </row>
    <row r="951" spans="24:24" ht="15.75" customHeight="1" x14ac:dyDescent="0.2">
      <c r="X951" s="2"/>
    </row>
    <row r="952" spans="24:24" ht="15.75" customHeight="1" x14ac:dyDescent="0.2">
      <c r="X952" s="2"/>
    </row>
    <row r="953" spans="24:24" ht="15.75" customHeight="1" x14ac:dyDescent="0.2">
      <c r="X953" s="2"/>
    </row>
    <row r="954" spans="24:24" ht="15.75" customHeight="1" x14ac:dyDescent="0.2">
      <c r="X954" s="2"/>
    </row>
    <row r="955" spans="24:24" ht="15.75" customHeight="1" x14ac:dyDescent="0.2">
      <c r="X955" s="2"/>
    </row>
    <row r="956" spans="24:24" ht="15.75" customHeight="1" x14ac:dyDescent="0.2">
      <c r="X956" s="2"/>
    </row>
    <row r="957" spans="24:24" ht="15.75" customHeight="1" x14ac:dyDescent="0.2">
      <c r="X957" s="2"/>
    </row>
    <row r="958" spans="24:24" ht="15.75" customHeight="1" x14ac:dyDescent="0.2">
      <c r="X958" s="2"/>
    </row>
    <row r="959" spans="24:24" ht="15.75" customHeight="1" x14ac:dyDescent="0.2">
      <c r="X959" s="2"/>
    </row>
    <row r="960" spans="24:24" ht="15.75" customHeight="1" x14ac:dyDescent="0.2">
      <c r="X960" s="2"/>
    </row>
    <row r="961" spans="24:24" ht="15.75" customHeight="1" x14ac:dyDescent="0.2">
      <c r="X961" s="2"/>
    </row>
    <row r="962" spans="24:24" ht="15.75" customHeight="1" x14ac:dyDescent="0.2">
      <c r="X962" s="2"/>
    </row>
    <row r="963" spans="24:24" ht="15.75" customHeight="1" x14ac:dyDescent="0.2">
      <c r="X963" s="2"/>
    </row>
    <row r="964" spans="24:24" ht="15.75" customHeight="1" x14ac:dyDescent="0.2">
      <c r="X964" s="2"/>
    </row>
    <row r="965" spans="24:24" ht="15.75" customHeight="1" x14ac:dyDescent="0.2">
      <c r="X965" s="2"/>
    </row>
    <row r="966" spans="24:24" ht="15.75" customHeight="1" x14ac:dyDescent="0.2">
      <c r="X966" s="2"/>
    </row>
    <row r="967" spans="24:24" ht="15.75" customHeight="1" x14ac:dyDescent="0.2">
      <c r="X967" s="2"/>
    </row>
    <row r="968" spans="24:24" ht="15.75" customHeight="1" x14ac:dyDescent="0.2">
      <c r="X968" s="2"/>
    </row>
    <row r="969" spans="24:24" ht="15.75" customHeight="1" x14ac:dyDescent="0.2">
      <c r="X969" s="2"/>
    </row>
    <row r="970" spans="24:24" ht="15.75" customHeight="1" x14ac:dyDescent="0.2">
      <c r="X970" s="2"/>
    </row>
    <row r="971" spans="24:24" ht="15.75" customHeight="1" x14ac:dyDescent="0.2">
      <c r="X971" s="2"/>
    </row>
    <row r="972" spans="24:24" ht="15.75" customHeight="1" x14ac:dyDescent="0.2">
      <c r="X972" s="2"/>
    </row>
    <row r="973" spans="24:24" ht="15.75" customHeight="1" x14ac:dyDescent="0.2">
      <c r="X973" s="2"/>
    </row>
    <row r="974" spans="24:24" ht="15.75" customHeight="1" x14ac:dyDescent="0.2">
      <c r="X974" s="2"/>
    </row>
    <row r="975" spans="24:24" ht="15.75" customHeight="1" x14ac:dyDescent="0.2">
      <c r="X975" s="2"/>
    </row>
    <row r="976" spans="24:24" ht="15.75" customHeight="1" x14ac:dyDescent="0.2">
      <c r="X976" s="2"/>
    </row>
    <row r="977" spans="24:24" ht="15.75" customHeight="1" x14ac:dyDescent="0.2">
      <c r="X977" s="2"/>
    </row>
    <row r="978" spans="24:24" ht="15.75" customHeight="1" x14ac:dyDescent="0.2">
      <c r="X978" s="2"/>
    </row>
    <row r="979" spans="24:24" ht="15.75" customHeight="1" x14ac:dyDescent="0.2">
      <c r="X979" s="2"/>
    </row>
    <row r="980" spans="24:24" ht="15.75" customHeight="1" x14ac:dyDescent="0.2">
      <c r="X980" s="2"/>
    </row>
    <row r="981" spans="24:24" ht="15.75" customHeight="1" x14ac:dyDescent="0.2">
      <c r="X981" s="2"/>
    </row>
  </sheetData>
  <autoFilter ref="C8:W39" xr:uid="{00000000-0009-0000-0000-000002000000}"/>
  <mergeCells count="14">
    <mergeCell ref="V7:W7"/>
    <mergeCell ref="X7:Y7"/>
    <mergeCell ref="C2:W2"/>
    <mergeCell ref="C3:W3"/>
    <mergeCell ref="F5:J5"/>
    <mergeCell ref="K5:L5"/>
    <mergeCell ref="C7:F7"/>
    <mergeCell ref="G7:H7"/>
    <mergeCell ref="I7:J7"/>
    <mergeCell ref="K7:M7"/>
    <mergeCell ref="N7:O7"/>
    <mergeCell ref="P7:Q7"/>
    <mergeCell ref="R7:S7"/>
    <mergeCell ref="T7:U7"/>
  </mergeCells>
  <conditionalFormatting sqref="F9:F39 F42:F44 F47:F64">
    <cfRule type="cellIs" dxfId="26" priority="27" operator="equal">
      <formula>"Unlicensed"</formula>
    </cfRule>
    <cfRule type="cellIs" dxfId="25" priority="26" operator="equal">
      <formula>"Left"</formula>
    </cfRule>
    <cfRule type="cellIs" dxfId="24" priority="25" operator="equal">
      <formula>"Flight Risk"</formula>
    </cfRule>
  </conditionalFormatting>
  <conditionalFormatting sqref="G9:G33 G42:G44 G49:G55 G57:G64">
    <cfRule type="cellIs" dxfId="23" priority="1" operator="equal">
      <formula>"Yes"</formula>
    </cfRule>
    <cfRule type="cellIs" dxfId="22" priority="3" operator="equal">
      <formula>"Maybe"</formula>
    </cfRule>
    <cfRule type="cellIs" dxfId="21" priority="2" operator="equal">
      <formula>"No"</formula>
    </cfRule>
  </conditionalFormatting>
  <conditionalFormatting sqref="I9:I33 I42:I44 I49:I55 I57:I64">
    <cfRule type="cellIs" dxfId="20" priority="5" operator="equal">
      <formula>"No"</formula>
    </cfRule>
    <cfRule type="cellIs" dxfId="19" priority="6" operator="equal">
      <formula>"Maybe"</formula>
    </cfRule>
    <cfRule type="cellIs" dxfId="18" priority="4" operator="equal">
      <formula>"Yes"</formula>
    </cfRule>
  </conditionalFormatting>
  <conditionalFormatting sqref="K9:K33 K42:K44 K49:K55 K57:K64">
    <cfRule type="cellIs" dxfId="17" priority="7" operator="equal">
      <formula>"Yes"</formula>
    </cfRule>
    <cfRule type="cellIs" dxfId="16" priority="8" operator="equal">
      <formula>"No"</formula>
    </cfRule>
    <cfRule type="cellIs" dxfId="15" priority="9" operator="equal">
      <formula>"Maybe"</formula>
    </cfRule>
  </conditionalFormatting>
  <conditionalFormatting sqref="M9:N33 M42:N44 M49:N55 M57:N64">
    <cfRule type="cellIs" dxfId="14" priority="10" operator="equal">
      <formula>"Yes"</formula>
    </cfRule>
    <cfRule type="cellIs" dxfId="13" priority="11" operator="equal">
      <formula>"No"</formula>
    </cfRule>
    <cfRule type="cellIs" dxfId="12" priority="12" operator="equal">
      <formula>"Maybe"</formula>
    </cfRule>
  </conditionalFormatting>
  <conditionalFormatting sqref="P9:P33 P42:P44 P49:P55 P57:P64">
    <cfRule type="cellIs" dxfId="11" priority="13" operator="equal">
      <formula>"Yes"</formula>
    </cfRule>
    <cfRule type="cellIs" dxfId="10" priority="15" operator="equal">
      <formula>"Maybe"</formula>
    </cfRule>
    <cfRule type="cellIs" dxfId="9" priority="14" operator="equal">
      <formula>"No"</formula>
    </cfRule>
  </conditionalFormatting>
  <conditionalFormatting sqref="R9:R33 R42:R44 R49:R55 R57:R64">
    <cfRule type="cellIs" dxfId="8" priority="16" operator="equal">
      <formula>"Yes"</formula>
    </cfRule>
    <cfRule type="cellIs" dxfId="7" priority="17" operator="equal">
      <formula>"No"</formula>
    </cfRule>
    <cfRule type="cellIs" dxfId="6" priority="18" operator="equal">
      <formula>"Maybe"</formula>
    </cfRule>
  </conditionalFormatting>
  <conditionalFormatting sqref="T9:T33 T42:T44 T49:T55 T57:T64">
    <cfRule type="cellIs" dxfId="5" priority="19" operator="equal">
      <formula>"Yes"</formula>
    </cfRule>
    <cfRule type="cellIs" dxfId="4" priority="20" operator="equal">
      <formula>"No"</formula>
    </cfRule>
    <cfRule type="cellIs" dxfId="3" priority="21" operator="equal">
      <formula>"Maybe"</formula>
    </cfRule>
  </conditionalFormatting>
  <conditionalFormatting sqref="V9:V33 Y9:Y44 V42:V44 Y47:Y64 V49:V55 V57:V64">
    <cfRule type="cellIs" dxfId="2" priority="22" operator="equal">
      <formula>"Yes"</formula>
    </cfRule>
    <cfRule type="cellIs" dxfId="1" priority="23" operator="equal">
      <formula>"No"</formula>
    </cfRule>
    <cfRule type="cellIs" dxfId="0" priority="24" operator="equal">
      <formula>"Maybe"</formula>
    </cfRule>
  </conditionalFormatting>
  <dataValidations count="2">
    <dataValidation type="list" allowBlank="1" sqref="F9:F44 F47:F64" xr:uid="{00000000-0002-0000-0200-000000000000}">
      <formula1>"Active,Flight Risk,Left,Unlicensed"</formula1>
    </dataValidation>
    <dataValidation type="list" allowBlank="1" sqref="G9:G32 I9:I32 K9:K32 M9:N32 P9:P32 R9:R32 T9:T32 V9:V32 G42:G44 I42:I44 K42:K44 M42:N44 P42:P44 R42:R44 T42:T44 V42:V44 Y9:Y44 G49:G55 I49:I55 K49:K55 M49:N55 P49:P55 R49:R55 T49:T55 V49:V55 G57:G64 I57:I64 K57:K64 M57:N64 P57:P64 R57:R64 T57:T64 V57:V64 Y47:Y64" xr:uid="{00000000-0002-0000-0200-000001000000}">
      <formula1>"Yes,No,Maybe"</formula1>
    </dataValidation>
  </dataValidations>
  <pageMargins left="0.75" right="0.75" top="1" bottom="1" header="0" footer="0"/>
  <pageSetup paperSize="9" orientation="portrai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Wednesday Weekly Feedback</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Benton, Jeanne-Claire</cp:lastModifiedBy>
  <dcterms:modified xsi:type="dcterms:W3CDTF">2026-07-08T16:29:31Z</dcterms:modified>
</cp:coreProperties>
</file>